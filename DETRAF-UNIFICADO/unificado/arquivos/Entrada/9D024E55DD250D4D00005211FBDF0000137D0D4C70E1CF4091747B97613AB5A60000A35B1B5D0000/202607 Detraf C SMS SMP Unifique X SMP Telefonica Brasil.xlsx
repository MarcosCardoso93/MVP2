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tat.sharepoint.com/sites/DETRAFUnifique/Documentos Compartilhados/detraf completo/02 DETRAF-SMS UNIFIQUE/2026 07/"/>
    </mc:Choice>
  </mc:AlternateContent>
  <xr:revisionPtr revIDLastSave="3" documentId="8_{9E2A818B-3F26-46BB-97A8-FE8B4BDDD649}" xr6:coauthVersionLast="47" xr6:coauthVersionMax="47" xr10:uidLastSave="{33D43088-9B6C-4410-8C32-8D09A3166D36}"/>
  <bookViews>
    <workbookView xWindow="-108" yWindow="-108" windowWidth="23256" windowHeight="12456" xr2:uid="{C4528C64-12CD-411C-BD68-25CAF9C05FA7}"/>
  </bookViews>
  <sheets>
    <sheet name="Planilha1" sheetId="1" r:id="rId1"/>
  </sheets>
  <definedNames>
    <definedName name="_xlnm._FilterDatabase" localSheetId="0" hidden="1">Planilha1!$A$1:$O$72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4" i="1" l="1"/>
  <c r="N74" i="1"/>
  <c r="M74" i="1"/>
  <c r="L74" i="1"/>
  <c r="J74" i="1"/>
  <c r="I74" i="1"/>
</calcChain>
</file>

<file path=xl/sharedStrings.xml><?xml version="1.0" encoding="utf-8"?>
<sst xmlns="http://schemas.openxmlformats.org/spreadsheetml/2006/main" count="299" uniqueCount="23">
  <si>
    <t>eotcredora</t>
  </si>
  <si>
    <t>eotdevedora</t>
  </si>
  <si>
    <t>mes_ref</t>
  </si>
  <si>
    <t>per_trafego</t>
  </si>
  <si>
    <t>poippi</t>
  </si>
  <si>
    <t>tipotrafego</t>
  </si>
  <si>
    <t>descritor</t>
  </si>
  <si>
    <t>gh</t>
  </si>
  <si>
    <t>chamadas</t>
  </si>
  <si>
    <t>minutos</t>
  </si>
  <si>
    <t>tarifa</t>
  </si>
  <si>
    <t>valor_liquido</t>
  </si>
  <si>
    <t>pis_cofins</t>
  </si>
  <si>
    <t>icms</t>
  </si>
  <si>
    <t>valor_bruto</t>
  </si>
  <si>
    <t>L06</t>
  </si>
  <si>
    <t>ITVIVORJ</t>
  </si>
  <si>
    <t>SENS</t>
  </si>
  <si>
    <t>N</t>
  </si>
  <si>
    <t>L05</t>
  </si>
  <si>
    <t>L07</t>
  </si>
  <si>
    <t>P56</t>
  </si>
  <si>
    <t>ITVIVOSP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</si>
</sst>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#,##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80"/>
      <name val="Arial"/>
      <family val="2"/>
    </font>
    <font>
      <b/>
      <sz val="11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4" fontId="3" fillId="0" borderId="0" xfId="1" applyNumberFormat="1" applyFont="1"/>
    <xf numFmtId="0" fontId="2" fillId="0" borderId="0" xfId="0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4BE6-8E16-41FF-ACE3-BAA668B50FBC}">
  <dimension ref="A1:AD81"/>
  <sheetViews>
    <sheetView tabSelected="1" workbookViewId="0"/>
  </sheetViews>
  <sheetFormatPr defaultRowHeight="14.4" x14ac:dyDescent="0.3"/>
  <cols>
    <col min="1" max="1" width="12.109375" style="1" bestFit="1" customWidth="1"/>
    <col min="2" max="2" width="14.109375" style="1" bestFit="1" customWidth="1"/>
    <col min="3" max="3" width="9.109375" style="1"/>
    <col min="4" max="4" width="12.88671875" style="1" bestFit="1" customWidth="1"/>
    <col min="5" max="5" width="10.33203125" style="1" bestFit="1" customWidth="1"/>
    <col min="6" max="6" width="12.109375" style="1" bestFit="1" customWidth="1"/>
    <col min="7" max="7" width="10.109375" style="1" bestFit="1" customWidth="1"/>
    <col min="8" max="8" width="3.5546875" style="1" bestFit="1" customWidth="1"/>
    <col min="9" max="9" width="11" style="2" bestFit="1" customWidth="1"/>
    <col min="10" max="10" width="9" style="3" bestFit="1" customWidth="1"/>
    <col min="11" max="11" width="8.44140625" style="4" bestFit="1" customWidth="1"/>
    <col min="12" max="12" width="14.33203125" style="5" bestFit="1" customWidth="1"/>
    <col min="13" max="13" width="11.33203125" style="5" bestFit="1" customWidth="1"/>
    <col min="14" max="14" width="5.5546875" style="5" bestFit="1" customWidth="1"/>
    <col min="15" max="15" width="12.6640625" style="5" bestFit="1" customWidth="1"/>
    <col min="16" max="16" width="12.6640625" style="5" customWidth="1"/>
    <col min="17" max="30" width="9.109375" style="1"/>
  </cols>
  <sheetData>
    <row r="1" spans="1:3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3">
      <c r="A2" s="11" t="s">
        <v>15</v>
      </c>
      <c r="B2" s="1">
        <v>457</v>
      </c>
      <c r="C2" s="1">
        <v>202607</v>
      </c>
      <c r="D2" s="1">
        <v>202607</v>
      </c>
      <c r="E2" s="1" t="s">
        <v>16</v>
      </c>
      <c r="F2" s="1">
        <v>0</v>
      </c>
      <c r="G2" s="1" t="s">
        <v>17</v>
      </c>
      <c r="H2" s="1" t="s">
        <v>18</v>
      </c>
      <c r="I2" s="2">
        <v>1</v>
      </c>
      <c r="J2" s="3">
        <v>0</v>
      </c>
      <c r="K2" s="4">
        <v>0.05</v>
      </c>
      <c r="L2" s="5">
        <v>0.05</v>
      </c>
      <c r="M2" s="5">
        <v>0</v>
      </c>
      <c r="N2" s="5">
        <v>0</v>
      </c>
      <c r="O2" s="5">
        <v>0.05</v>
      </c>
    </row>
    <row r="3" spans="1:30" x14ac:dyDescent="0.3">
      <c r="A3" s="11" t="s">
        <v>15</v>
      </c>
      <c r="B3" s="1">
        <v>30</v>
      </c>
      <c r="C3" s="1">
        <v>202607</v>
      </c>
      <c r="D3" s="1">
        <v>202607</v>
      </c>
      <c r="E3" s="1" t="s">
        <v>16</v>
      </c>
      <c r="F3" s="1">
        <v>0</v>
      </c>
      <c r="G3" s="1" t="s">
        <v>17</v>
      </c>
      <c r="H3" s="1" t="s">
        <v>18</v>
      </c>
      <c r="I3" s="2">
        <v>13</v>
      </c>
      <c r="J3" s="3">
        <v>0</v>
      </c>
      <c r="K3" s="4">
        <v>0.05</v>
      </c>
      <c r="L3" s="5">
        <v>0.65</v>
      </c>
      <c r="M3" s="5">
        <v>0.02</v>
      </c>
      <c r="N3" s="5">
        <v>0</v>
      </c>
      <c r="O3" s="5">
        <v>0.67</v>
      </c>
    </row>
    <row r="4" spans="1:30" x14ac:dyDescent="0.3">
      <c r="A4" s="11" t="s">
        <v>19</v>
      </c>
      <c r="B4" s="1">
        <v>452</v>
      </c>
      <c r="C4" s="1">
        <v>202607</v>
      </c>
      <c r="D4" s="1">
        <v>202607</v>
      </c>
      <c r="E4" s="1" t="s">
        <v>16</v>
      </c>
      <c r="F4" s="1">
        <v>0</v>
      </c>
      <c r="G4" s="1" t="s">
        <v>17</v>
      </c>
      <c r="H4" s="1" t="s">
        <v>18</v>
      </c>
      <c r="I4" s="2">
        <v>1</v>
      </c>
      <c r="J4" s="3">
        <v>0</v>
      </c>
      <c r="K4" s="4">
        <v>0.05</v>
      </c>
      <c r="L4" s="5">
        <v>0.05</v>
      </c>
      <c r="M4" s="5">
        <v>0</v>
      </c>
      <c r="N4" s="5">
        <v>0</v>
      </c>
      <c r="O4" s="5">
        <v>0.05</v>
      </c>
    </row>
    <row r="5" spans="1:30" x14ac:dyDescent="0.3">
      <c r="A5" s="11" t="s">
        <v>15</v>
      </c>
      <c r="B5" s="1">
        <v>66</v>
      </c>
      <c r="C5" s="1">
        <v>202607</v>
      </c>
      <c r="D5" s="1">
        <v>202607</v>
      </c>
      <c r="E5" s="1" t="s">
        <v>16</v>
      </c>
      <c r="F5" s="1">
        <v>0</v>
      </c>
      <c r="G5" s="1" t="s">
        <v>17</v>
      </c>
      <c r="H5" s="1" t="s">
        <v>18</v>
      </c>
      <c r="I5" s="2">
        <v>3</v>
      </c>
      <c r="J5" s="3">
        <v>0</v>
      </c>
      <c r="K5" s="4">
        <v>0.05</v>
      </c>
      <c r="L5" s="5">
        <v>0.15</v>
      </c>
      <c r="M5" s="5">
        <v>0.01</v>
      </c>
      <c r="N5" s="5">
        <v>0</v>
      </c>
      <c r="O5" s="5">
        <v>0.16</v>
      </c>
    </row>
    <row r="6" spans="1:30" x14ac:dyDescent="0.3">
      <c r="A6" s="11" t="s">
        <v>19</v>
      </c>
      <c r="B6" s="1">
        <v>38</v>
      </c>
      <c r="C6" s="1">
        <v>202607</v>
      </c>
      <c r="D6" s="1">
        <v>202607</v>
      </c>
      <c r="E6" s="1" t="s">
        <v>16</v>
      </c>
      <c r="F6" s="1">
        <v>0</v>
      </c>
      <c r="G6" s="1" t="s">
        <v>17</v>
      </c>
      <c r="H6" s="1" t="s">
        <v>18</v>
      </c>
      <c r="I6" s="2">
        <v>36</v>
      </c>
      <c r="J6" s="3">
        <v>0</v>
      </c>
      <c r="K6" s="4">
        <v>0.05</v>
      </c>
      <c r="L6" s="5">
        <v>1.8</v>
      </c>
      <c r="M6" s="5">
        <v>7.0000000000000007E-2</v>
      </c>
      <c r="N6" s="5">
        <v>0</v>
      </c>
      <c r="O6" s="5">
        <v>1.87</v>
      </c>
    </row>
    <row r="7" spans="1:30" x14ac:dyDescent="0.3">
      <c r="A7" s="11" t="s">
        <v>15</v>
      </c>
      <c r="B7" s="1">
        <v>50</v>
      </c>
      <c r="C7" s="1">
        <v>202607</v>
      </c>
      <c r="D7" s="1">
        <v>202607</v>
      </c>
      <c r="E7" s="1" t="s">
        <v>16</v>
      </c>
      <c r="F7" s="1">
        <v>0</v>
      </c>
      <c r="G7" s="1" t="s">
        <v>17</v>
      </c>
      <c r="H7" s="1" t="s">
        <v>18</v>
      </c>
      <c r="I7" s="2">
        <v>3066</v>
      </c>
      <c r="J7" s="3">
        <v>0</v>
      </c>
      <c r="K7" s="4">
        <v>0.05</v>
      </c>
      <c r="L7" s="5">
        <v>153.30000000000001</v>
      </c>
      <c r="M7" s="5">
        <v>5.81</v>
      </c>
      <c r="N7" s="5">
        <v>0</v>
      </c>
      <c r="O7" s="5">
        <v>159.11000000000001</v>
      </c>
    </row>
    <row r="8" spans="1:30" x14ac:dyDescent="0.3">
      <c r="A8" s="11" t="s">
        <v>20</v>
      </c>
      <c r="B8" s="1">
        <v>45</v>
      </c>
      <c r="C8" s="1">
        <v>202607</v>
      </c>
      <c r="D8" s="1">
        <v>202607</v>
      </c>
      <c r="E8" s="1" t="s">
        <v>16</v>
      </c>
      <c r="F8" s="1">
        <v>0</v>
      </c>
      <c r="G8" s="1" t="s">
        <v>17</v>
      </c>
      <c r="H8" s="1" t="s">
        <v>18</v>
      </c>
      <c r="I8" s="2">
        <v>5</v>
      </c>
      <c r="J8" s="3">
        <v>0</v>
      </c>
      <c r="K8" s="4">
        <v>0.05</v>
      </c>
      <c r="L8" s="5">
        <v>0.25</v>
      </c>
      <c r="M8" s="5">
        <v>0.01</v>
      </c>
      <c r="N8" s="5">
        <v>0</v>
      </c>
      <c r="O8" s="5">
        <v>0.26</v>
      </c>
    </row>
    <row r="9" spans="1:30" x14ac:dyDescent="0.3">
      <c r="A9" s="11" t="s">
        <v>19</v>
      </c>
      <c r="B9" s="1">
        <v>10</v>
      </c>
      <c r="C9" s="1">
        <v>202607</v>
      </c>
      <c r="D9" s="1">
        <v>202607</v>
      </c>
      <c r="E9" s="1" t="s">
        <v>16</v>
      </c>
      <c r="F9" s="1">
        <v>0</v>
      </c>
      <c r="G9" s="1" t="s">
        <v>17</v>
      </c>
      <c r="H9" s="1" t="s">
        <v>18</v>
      </c>
      <c r="I9" s="2">
        <v>119</v>
      </c>
      <c r="J9" s="3">
        <v>0</v>
      </c>
      <c r="K9" s="4">
        <v>0.05</v>
      </c>
      <c r="L9" s="5">
        <v>5.95</v>
      </c>
      <c r="M9" s="5">
        <v>0.23</v>
      </c>
      <c r="N9" s="5">
        <v>0</v>
      </c>
      <c r="O9" s="5">
        <v>6.18</v>
      </c>
    </row>
    <row r="10" spans="1:30" x14ac:dyDescent="0.3">
      <c r="A10" s="11" t="s">
        <v>15</v>
      </c>
      <c r="B10" s="1">
        <v>70</v>
      </c>
      <c r="C10" s="1">
        <v>202607</v>
      </c>
      <c r="D10" s="1">
        <v>202607</v>
      </c>
      <c r="E10" s="1" t="s">
        <v>16</v>
      </c>
      <c r="F10" s="1">
        <v>0</v>
      </c>
      <c r="G10" s="1" t="s">
        <v>17</v>
      </c>
      <c r="H10" s="1" t="s">
        <v>18</v>
      </c>
      <c r="I10" s="2">
        <v>7</v>
      </c>
      <c r="J10" s="3">
        <v>0</v>
      </c>
      <c r="K10" s="4">
        <v>0.05</v>
      </c>
      <c r="L10" s="5">
        <v>0.35</v>
      </c>
      <c r="M10" s="5">
        <v>0.01</v>
      </c>
      <c r="N10" s="5">
        <v>0</v>
      </c>
      <c r="O10" s="5">
        <v>0.36</v>
      </c>
    </row>
    <row r="11" spans="1:30" x14ac:dyDescent="0.3">
      <c r="A11" s="11" t="s">
        <v>19</v>
      </c>
      <c r="B11" s="1">
        <v>454</v>
      </c>
      <c r="C11" s="1">
        <v>202607</v>
      </c>
      <c r="D11" s="1">
        <v>202607</v>
      </c>
      <c r="E11" s="1" t="s">
        <v>16</v>
      </c>
      <c r="F11" s="1">
        <v>0</v>
      </c>
      <c r="G11" s="1" t="s">
        <v>17</v>
      </c>
      <c r="H11" s="1" t="s">
        <v>18</v>
      </c>
      <c r="I11" s="2">
        <v>5</v>
      </c>
      <c r="J11" s="3">
        <v>0</v>
      </c>
      <c r="K11" s="4">
        <v>0.05</v>
      </c>
      <c r="L11" s="5">
        <v>0.25</v>
      </c>
      <c r="M11" s="5">
        <v>0.01</v>
      </c>
      <c r="N11" s="5">
        <v>0</v>
      </c>
      <c r="O11" s="5">
        <v>0.26</v>
      </c>
    </row>
    <row r="12" spans="1:30" x14ac:dyDescent="0.3">
      <c r="A12" s="11" t="s">
        <v>19</v>
      </c>
      <c r="B12" s="1">
        <v>20</v>
      </c>
      <c r="C12" s="1">
        <v>202607</v>
      </c>
      <c r="D12" s="1">
        <v>202607</v>
      </c>
      <c r="E12" s="1" t="s">
        <v>16</v>
      </c>
      <c r="F12" s="1">
        <v>0</v>
      </c>
      <c r="G12" s="1" t="s">
        <v>17</v>
      </c>
      <c r="H12" s="1" t="s">
        <v>18</v>
      </c>
      <c r="I12" s="2">
        <v>53</v>
      </c>
      <c r="J12" s="3">
        <v>0</v>
      </c>
      <c r="K12" s="4">
        <v>0.05</v>
      </c>
      <c r="L12" s="5">
        <v>2.65</v>
      </c>
      <c r="M12" s="5">
        <v>0.1</v>
      </c>
      <c r="N12" s="5">
        <v>0</v>
      </c>
      <c r="O12" s="5">
        <v>2.75</v>
      </c>
    </row>
    <row r="13" spans="1:30" x14ac:dyDescent="0.3">
      <c r="A13" s="11" t="s">
        <v>19</v>
      </c>
      <c r="B13" s="1">
        <v>70</v>
      </c>
      <c r="C13" s="1">
        <v>202607</v>
      </c>
      <c r="D13" s="1">
        <v>202607</v>
      </c>
      <c r="E13" s="1" t="s">
        <v>16</v>
      </c>
      <c r="F13" s="1">
        <v>0</v>
      </c>
      <c r="G13" s="1" t="s">
        <v>17</v>
      </c>
      <c r="H13" s="1" t="s">
        <v>18</v>
      </c>
      <c r="I13" s="2">
        <v>13</v>
      </c>
      <c r="J13" s="3">
        <v>0</v>
      </c>
      <c r="K13" s="4">
        <v>0.05</v>
      </c>
      <c r="L13" s="5">
        <v>0.65</v>
      </c>
      <c r="M13" s="5">
        <v>0.02</v>
      </c>
      <c r="N13" s="5">
        <v>0</v>
      </c>
      <c r="O13" s="5">
        <v>0.67</v>
      </c>
    </row>
    <row r="14" spans="1:30" x14ac:dyDescent="0.3">
      <c r="A14" s="11" t="s">
        <v>15</v>
      </c>
      <c r="B14" s="1">
        <v>456</v>
      </c>
      <c r="C14" s="1">
        <v>202607</v>
      </c>
      <c r="D14" s="1">
        <v>202607</v>
      </c>
      <c r="E14" s="1" t="s">
        <v>16</v>
      </c>
      <c r="F14" s="1">
        <v>0</v>
      </c>
      <c r="G14" s="1" t="s">
        <v>17</v>
      </c>
      <c r="H14" s="1" t="s">
        <v>18</v>
      </c>
      <c r="I14" s="2">
        <v>1</v>
      </c>
      <c r="J14" s="3">
        <v>0</v>
      </c>
      <c r="K14" s="4">
        <v>0.05</v>
      </c>
      <c r="L14" s="5">
        <v>0.05</v>
      </c>
      <c r="M14" s="5">
        <v>0</v>
      </c>
      <c r="N14" s="5">
        <v>0</v>
      </c>
      <c r="O14" s="5">
        <v>0.05</v>
      </c>
    </row>
    <row r="15" spans="1:30" x14ac:dyDescent="0.3">
      <c r="A15" s="11" t="s">
        <v>15</v>
      </c>
      <c r="B15" s="1">
        <v>33</v>
      </c>
      <c r="C15" s="1">
        <v>202607</v>
      </c>
      <c r="D15" s="1">
        <v>202607</v>
      </c>
      <c r="E15" s="1" t="s">
        <v>16</v>
      </c>
      <c r="F15" s="1">
        <v>0</v>
      </c>
      <c r="G15" s="1" t="s">
        <v>17</v>
      </c>
      <c r="H15" s="1" t="s">
        <v>18</v>
      </c>
      <c r="I15" s="2">
        <v>7</v>
      </c>
      <c r="J15" s="3">
        <v>0</v>
      </c>
      <c r="K15" s="4">
        <v>0.05</v>
      </c>
      <c r="L15" s="5">
        <v>0.35</v>
      </c>
      <c r="M15" s="5">
        <v>0.01</v>
      </c>
      <c r="N15" s="5">
        <v>0</v>
      </c>
      <c r="O15" s="5">
        <v>0.36</v>
      </c>
    </row>
    <row r="16" spans="1:30" x14ac:dyDescent="0.3">
      <c r="A16" s="11" t="s">
        <v>15</v>
      </c>
      <c r="B16" s="1">
        <v>44</v>
      </c>
      <c r="C16" s="1">
        <v>202607</v>
      </c>
      <c r="D16" s="1">
        <v>202607</v>
      </c>
      <c r="E16" s="1" t="s">
        <v>16</v>
      </c>
      <c r="F16" s="1">
        <v>0</v>
      </c>
      <c r="G16" s="1" t="s">
        <v>17</v>
      </c>
      <c r="H16" s="1" t="s">
        <v>18</v>
      </c>
      <c r="I16" s="2">
        <v>1</v>
      </c>
      <c r="J16" s="3">
        <v>0</v>
      </c>
      <c r="K16" s="4">
        <v>0.05</v>
      </c>
      <c r="L16" s="5">
        <v>0.05</v>
      </c>
      <c r="M16" s="5">
        <v>0</v>
      </c>
      <c r="N16" s="5">
        <v>0</v>
      </c>
      <c r="O16" s="5">
        <v>0.05</v>
      </c>
    </row>
    <row r="17" spans="1:15" x14ac:dyDescent="0.3">
      <c r="A17" s="11" t="s">
        <v>19</v>
      </c>
      <c r="B17" s="1">
        <v>456</v>
      </c>
      <c r="C17" s="1">
        <v>202607</v>
      </c>
      <c r="D17" s="1">
        <v>202607</v>
      </c>
      <c r="E17" s="1" t="s">
        <v>16</v>
      </c>
      <c r="F17" s="1">
        <v>0</v>
      </c>
      <c r="G17" s="1" t="s">
        <v>17</v>
      </c>
      <c r="H17" s="1" t="s">
        <v>18</v>
      </c>
      <c r="I17" s="2">
        <v>1</v>
      </c>
      <c r="J17" s="3">
        <v>0</v>
      </c>
      <c r="K17" s="4">
        <v>0.05</v>
      </c>
      <c r="L17" s="5">
        <v>0.05</v>
      </c>
      <c r="M17" s="5">
        <v>0</v>
      </c>
      <c r="N17" s="5">
        <v>0</v>
      </c>
      <c r="O17" s="5">
        <v>0.05</v>
      </c>
    </row>
    <row r="18" spans="1:15" x14ac:dyDescent="0.3">
      <c r="A18" s="11" t="s">
        <v>19</v>
      </c>
      <c r="B18" s="1">
        <v>45</v>
      </c>
      <c r="C18" s="1">
        <v>202607</v>
      </c>
      <c r="D18" s="1">
        <v>202607</v>
      </c>
      <c r="E18" s="1" t="s">
        <v>16</v>
      </c>
      <c r="F18" s="1">
        <v>0</v>
      </c>
      <c r="G18" s="1" t="s">
        <v>17</v>
      </c>
      <c r="H18" s="1" t="s">
        <v>18</v>
      </c>
      <c r="I18" s="2">
        <v>4019</v>
      </c>
      <c r="J18" s="3">
        <v>0</v>
      </c>
      <c r="K18" s="4">
        <v>0.05</v>
      </c>
      <c r="L18" s="5">
        <v>200.95</v>
      </c>
      <c r="M18" s="5">
        <v>7.61</v>
      </c>
      <c r="N18" s="5">
        <v>0</v>
      </c>
      <c r="O18" s="5">
        <v>208.56</v>
      </c>
    </row>
    <row r="19" spans="1:15" x14ac:dyDescent="0.3">
      <c r="A19" s="11" t="s">
        <v>15</v>
      </c>
      <c r="B19" s="1">
        <v>60</v>
      </c>
      <c r="C19" s="1">
        <v>202607</v>
      </c>
      <c r="D19" s="1">
        <v>202607</v>
      </c>
      <c r="E19" s="1" t="s">
        <v>16</v>
      </c>
      <c r="F19" s="1">
        <v>0</v>
      </c>
      <c r="G19" s="1" t="s">
        <v>17</v>
      </c>
      <c r="H19" s="1" t="s">
        <v>18</v>
      </c>
      <c r="I19" s="2">
        <v>1</v>
      </c>
      <c r="J19" s="3">
        <v>0</v>
      </c>
      <c r="K19" s="4">
        <v>0.05</v>
      </c>
      <c r="L19" s="5">
        <v>0.05</v>
      </c>
      <c r="M19" s="5">
        <v>0</v>
      </c>
      <c r="N19" s="5">
        <v>0</v>
      </c>
      <c r="O19" s="5">
        <v>0.05</v>
      </c>
    </row>
    <row r="20" spans="1:15" x14ac:dyDescent="0.3">
      <c r="A20" s="11" t="s">
        <v>20</v>
      </c>
      <c r="B20" s="1">
        <v>33</v>
      </c>
      <c r="C20" s="1">
        <v>202607</v>
      </c>
      <c r="D20" s="1">
        <v>202607</v>
      </c>
      <c r="E20" s="1" t="s">
        <v>16</v>
      </c>
      <c r="F20" s="1">
        <v>0</v>
      </c>
      <c r="G20" s="1" t="s">
        <v>17</v>
      </c>
      <c r="H20" s="1" t="s">
        <v>18</v>
      </c>
      <c r="I20" s="2">
        <v>8</v>
      </c>
      <c r="J20" s="3">
        <v>0</v>
      </c>
      <c r="K20" s="4">
        <v>0.05</v>
      </c>
      <c r="L20" s="5">
        <v>0.4</v>
      </c>
      <c r="M20" s="5">
        <v>0.02</v>
      </c>
      <c r="N20" s="5">
        <v>0</v>
      </c>
      <c r="O20" s="5">
        <v>0.42</v>
      </c>
    </row>
    <row r="21" spans="1:15" x14ac:dyDescent="0.3">
      <c r="A21" s="11" t="s">
        <v>20</v>
      </c>
      <c r="B21" s="1">
        <v>44</v>
      </c>
      <c r="C21" s="1">
        <v>202607</v>
      </c>
      <c r="D21" s="1">
        <v>202607</v>
      </c>
      <c r="E21" s="1" t="s">
        <v>16</v>
      </c>
      <c r="F21" s="1">
        <v>0</v>
      </c>
      <c r="G21" s="1" t="s">
        <v>17</v>
      </c>
      <c r="H21" s="1" t="s">
        <v>18</v>
      </c>
      <c r="I21" s="2">
        <v>62</v>
      </c>
      <c r="J21" s="3">
        <v>0</v>
      </c>
      <c r="K21" s="4">
        <v>0.05</v>
      </c>
      <c r="L21" s="5">
        <v>3.1</v>
      </c>
      <c r="M21" s="5">
        <v>0.12</v>
      </c>
      <c r="N21" s="5">
        <v>0</v>
      </c>
      <c r="O21" s="5">
        <v>3.22</v>
      </c>
    </row>
    <row r="22" spans="1:15" x14ac:dyDescent="0.3">
      <c r="A22" s="11" t="s">
        <v>19</v>
      </c>
      <c r="B22" s="1">
        <v>4</v>
      </c>
      <c r="C22" s="1">
        <v>202607</v>
      </c>
      <c r="D22" s="1">
        <v>202607</v>
      </c>
      <c r="E22" s="1" t="s">
        <v>16</v>
      </c>
      <c r="F22" s="1">
        <v>0</v>
      </c>
      <c r="G22" s="1" t="s">
        <v>17</v>
      </c>
      <c r="H22" s="1" t="s">
        <v>18</v>
      </c>
      <c r="I22" s="2">
        <v>2</v>
      </c>
      <c r="J22" s="3">
        <v>0</v>
      </c>
      <c r="K22" s="4">
        <v>0.05</v>
      </c>
      <c r="L22" s="5">
        <v>0.1</v>
      </c>
      <c r="M22" s="5">
        <v>0</v>
      </c>
      <c r="N22" s="5">
        <v>0</v>
      </c>
      <c r="O22" s="5">
        <v>0.1</v>
      </c>
    </row>
    <row r="23" spans="1:15" x14ac:dyDescent="0.3">
      <c r="A23" s="11" t="s">
        <v>19</v>
      </c>
      <c r="B23" s="1">
        <v>50</v>
      </c>
      <c r="C23" s="1">
        <v>202607</v>
      </c>
      <c r="D23" s="1">
        <v>202607</v>
      </c>
      <c r="E23" s="1" t="s">
        <v>16</v>
      </c>
      <c r="F23" s="1">
        <v>0</v>
      </c>
      <c r="G23" s="1" t="s">
        <v>17</v>
      </c>
      <c r="H23" s="1" t="s">
        <v>18</v>
      </c>
      <c r="I23" s="2">
        <v>233</v>
      </c>
      <c r="J23" s="3">
        <v>0</v>
      </c>
      <c r="K23" s="4">
        <v>0.05</v>
      </c>
      <c r="L23" s="5">
        <v>11.65</v>
      </c>
      <c r="M23" s="5">
        <v>0.44</v>
      </c>
      <c r="N23" s="5">
        <v>0</v>
      </c>
      <c r="O23" s="5">
        <v>12.09</v>
      </c>
    </row>
    <row r="24" spans="1:15" x14ac:dyDescent="0.3">
      <c r="A24" s="11" t="s">
        <v>15</v>
      </c>
      <c r="B24" s="1">
        <v>20</v>
      </c>
      <c r="C24" s="1">
        <v>202607</v>
      </c>
      <c r="D24" s="1">
        <v>202607</v>
      </c>
      <c r="E24" s="1" t="s">
        <v>16</v>
      </c>
      <c r="F24" s="1">
        <v>0</v>
      </c>
      <c r="G24" s="1" t="s">
        <v>17</v>
      </c>
      <c r="H24" s="1" t="s">
        <v>18</v>
      </c>
      <c r="I24" s="2">
        <v>5</v>
      </c>
      <c r="J24" s="3">
        <v>0</v>
      </c>
      <c r="K24" s="4">
        <v>0.05</v>
      </c>
      <c r="L24" s="5">
        <v>0.25</v>
      </c>
      <c r="M24" s="5">
        <v>0.01</v>
      </c>
      <c r="N24" s="5">
        <v>0</v>
      </c>
      <c r="O24" s="5">
        <v>0.26</v>
      </c>
    </row>
    <row r="25" spans="1:15" x14ac:dyDescent="0.3">
      <c r="A25" s="11" t="s">
        <v>19</v>
      </c>
      <c r="B25" s="1">
        <v>60</v>
      </c>
      <c r="C25" s="1">
        <v>202607</v>
      </c>
      <c r="D25" s="1">
        <v>202607</v>
      </c>
      <c r="E25" s="1" t="s">
        <v>16</v>
      </c>
      <c r="F25" s="1">
        <v>0</v>
      </c>
      <c r="G25" s="1" t="s">
        <v>17</v>
      </c>
      <c r="H25" s="1" t="s">
        <v>18</v>
      </c>
      <c r="I25" s="2">
        <v>2</v>
      </c>
      <c r="J25" s="3">
        <v>0</v>
      </c>
      <c r="K25" s="4">
        <v>0.05</v>
      </c>
      <c r="L25" s="5">
        <v>0.1</v>
      </c>
      <c r="M25" s="5">
        <v>0</v>
      </c>
      <c r="N25" s="5">
        <v>0</v>
      </c>
      <c r="O25" s="5">
        <v>0.1</v>
      </c>
    </row>
    <row r="26" spans="1:15" x14ac:dyDescent="0.3">
      <c r="A26" s="11" t="s">
        <v>19</v>
      </c>
      <c r="B26" s="1">
        <v>33</v>
      </c>
      <c r="C26" s="1">
        <v>202607</v>
      </c>
      <c r="D26" s="1">
        <v>202607</v>
      </c>
      <c r="E26" s="1" t="s">
        <v>16</v>
      </c>
      <c r="F26" s="1">
        <v>0</v>
      </c>
      <c r="G26" s="1" t="s">
        <v>17</v>
      </c>
      <c r="H26" s="1" t="s">
        <v>18</v>
      </c>
      <c r="I26" s="2">
        <v>62</v>
      </c>
      <c r="J26" s="3">
        <v>0</v>
      </c>
      <c r="K26" s="4">
        <v>0.05</v>
      </c>
      <c r="L26" s="5">
        <v>3.1</v>
      </c>
      <c r="M26" s="5">
        <v>0.12</v>
      </c>
      <c r="N26" s="5">
        <v>0</v>
      </c>
      <c r="O26" s="5">
        <v>3.22</v>
      </c>
    </row>
    <row r="27" spans="1:15" x14ac:dyDescent="0.3">
      <c r="A27" s="11" t="s">
        <v>19</v>
      </c>
      <c r="B27" s="1">
        <v>37</v>
      </c>
      <c r="C27" s="1">
        <v>202607</v>
      </c>
      <c r="D27" s="1">
        <v>202607</v>
      </c>
      <c r="E27" s="1" t="s">
        <v>16</v>
      </c>
      <c r="F27" s="1">
        <v>0</v>
      </c>
      <c r="G27" s="1" t="s">
        <v>17</v>
      </c>
      <c r="H27" s="1" t="s">
        <v>18</v>
      </c>
      <c r="I27" s="2">
        <v>17</v>
      </c>
      <c r="J27" s="3">
        <v>0</v>
      </c>
      <c r="K27" s="4">
        <v>0.05</v>
      </c>
      <c r="L27" s="5">
        <v>0.85</v>
      </c>
      <c r="M27" s="5">
        <v>0.03</v>
      </c>
      <c r="N27" s="5">
        <v>0</v>
      </c>
      <c r="O27" s="5">
        <v>0.88</v>
      </c>
    </row>
    <row r="28" spans="1:15" x14ac:dyDescent="0.3">
      <c r="A28" s="11" t="s">
        <v>19</v>
      </c>
      <c r="B28" s="1">
        <v>78</v>
      </c>
      <c r="C28" s="1">
        <v>202607</v>
      </c>
      <c r="D28" s="1">
        <v>202607</v>
      </c>
      <c r="E28" s="1" t="s">
        <v>16</v>
      </c>
      <c r="F28" s="1">
        <v>0</v>
      </c>
      <c r="G28" s="1" t="s">
        <v>17</v>
      </c>
      <c r="H28" s="1" t="s">
        <v>18</v>
      </c>
      <c r="I28" s="2">
        <v>3</v>
      </c>
      <c r="J28" s="3">
        <v>0</v>
      </c>
      <c r="K28" s="4">
        <v>0.05</v>
      </c>
      <c r="L28" s="5">
        <v>0.15</v>
      </c>
      <c r="M28" s="5">
        <v>0.01</v>
      </c>
      <c r="N28" s="5">
        <v>0</v>
      </c>
      <c r="O28" s="5">
        <v>0.16</v>
      </c>
    </row>
    <row r="29" spans="1:15" x14ac:dyDescent="0.3">
      <c r="A29" s="11" t="s">
        <v>20</v>
      </c>
      <c r="B29" s="1">
        <v>10</v>
      </c>
      <c r="C29" s="1">
        <v>202607</v>
      </c>
      <c r="D29" s="1">
        <v>202607</v>
      </c>
      <c r="E29" s="1" t="s">
        <v>16</v>
      </c>
      <c r="F29" s="1">
        <v>0</v>
      </c>
      <c r="G29" s="1" t="s">
        <v>17</v>
      </c>
      <c r="H29" s="1" t="s">
        <v>18</v>
      </c>
      <c r="I29" s="2">
        <v>8</v>
      </c>
      <c r="J29" s="3">
        <v>0</v>
      </c>
      <c r="K29" s="4">
        <v>0.05</v>
      </c>
      <c r="L29" s="5">
        <v>0.4</v>
      </c>
      <c r="M29" s="5">
        <v>0.02</v>
      </c>
      <c r="N29" s="5">
        <v>0</v>
      </c>
      <c r="O29" s="5">
        <v>0.42</v>
      </c>
    </row>
    <row r="30" spans="1:15" x14ac:dyDescent="0.3">
      <c r="A30" s="11" t="s">
        <v>19</v>
      </c>
      <c r="B30" s="1">
        <v>26</v>
      </c>
      <c r="C30" s="1">
        <v>202607</v>
      </c>
      <c r="D30" s="1">
        <v>202607</v>
      </c>
      <c r="E30" s="1" t="s">
        <v>16</v>
      </c>
      <c r="F30" s="1">
        <v>0</v>
      </c>
      <c r="G30" s="1" t="s">
        <v>17</v>
      </c>
      <c r="H30" s="1" t="s">
        <v>18</v>
      </c>
      <c r="I30" s="2">
        <v>22</v>
      </c>
      <c r="J30" s="3">
        <v>0</v>
      </c>
      <c r="K30" s="4">
        <v>0.05</v>
      </c>
      <c r="L30" s="5">
        <v>1.1000000000000001</v>
      </c>
      <c r="M30" s="5">
        <v>0.04</v>
      </c>
      <c r="N30" s="5">
        <v>0</v>
      </c>
      <c r="O30" s="5">
        <v>1.1399999999999999</v>
      </c>
    </row>
    <row r="31" spans="1:15" x14ac:dyDescent="0.3">
      <c r="A31" s="11" t="s">
        <v>19</v>
      </c>
      <c r="B31" s="1">
        <v>453</v>
      </c>
      <c r="C31" s="1">
        <v>202607</v>
      </c>
      <c r="D31" s="1">
        <v>202607</v>
      </c>
      <c r="E31" s="1" t="s">
        <v>16</v>
      </c>
      <c r="F31" s="1">
        <v>0</v>
      </c>
      <c r="G31" s="1" t="s">
        <v>17</v>
      </c>
      <c r="H31" s="1" t="s">
        <v>18</v>
      </c>
      <c r="I31" s="2">
        <v>9</v>
      </c>
      <c r="J31" s="3">
        <v>0</v>
      </c>
      <c r="K31" s="4">
        <v>0.05</v>
      </c>
      <c r="L31" s="5">
        <v>0.45</v>
      </c>
      <c r="M31" s="5">
        <v>0.02</v>
      </c>
      <c r="N31" s="5">
        <v>0</v>
      </c>
      <c r="O31" s="5">
        <v>0.47</v>
      </c>
    </row>
    <row r="32" spans="1:15" x14ac:dyDescent="0.3">
      <c r="A32" s="11" t="s">
        <v>19</v>
      </c>
      <c r="B32" s="1">
        <v>44</v>
      </c>
      <c r="C32" s="1">
        <v>202607</v>
      </c>
      <c r="D32" s="1">
        <v>202607</v>
      </c>
      <c r="E32" s="1" t="s">
        <v>16</v>
      </c>
      <c r="F32" s="1">
        <v>0</v>
      </c>
      <c r="G32" s="1" t="s">
        <v>17</v>
      </c>
      <c r="H32" s="1" t="s">
        <v>18</v>
      </c>
      <c r="I32" s="2">
        <v>63</v>
      </c>
      <c r="J32" s="3">
        <v>0</v>
      </c>
      <c r="K32" s="4">
        <v>0.05</v>
      </c>
      <c r="L32" s="5">
        <v>3.15</v>
      </c>
      <c r="M32" s="5">
        <v>0.12</v>
      </c>
      <c r="N32" s="5">
        <v>0</v>
      </c>
      <c r="O32" s="5">
        <v>3.27</v>
      </c>
    </row>
    <row r="33" spans="1:15" x14ac:dyDescent="0.3">
      <c r="A33" s="11" t="s">
        <v>19</v>
      </c>
      <c r="B33" s="1">
        <v>457</v>
      </c>
      <c r="C33" s="1">
        <v>202607</v>
      </c>
      <c r="D33" s="1">
        <v>202607</v>
      </c>
      <c r="E33" s="1" t="s">
        <v>16</v>
      </c>
      <c r="F33" s="1">
        <v>0</v>
      </c>
      <c r="G33" s="1" t="s">
        <v>17</v>
      </c>
      <c r="H33" s="1" t="s">
        <v>18</v>
      </c>
      <c r="I33" s="2">
        <v>14</v>
      </c>
      <c r="J33" s="3">
        <v>0</v>
      </c>
      <c r="K33" s="4">
        <v>0.05</v>
      </c>
      <c r="L33" s="5">
        <v>0.7</v>
      </c>
      <c r="M33" s="5">
        <v>0.03</v>
      </c>
      <c r="N33" s="5">
        <v>0</v>
      </c>
      <c r="O33" s="5">
        <v>0.73</v>
      </c>
    </row>
    <row r="34" spans="1:15" x14ac:dyDescent="0.3">
      <c r="A34" s="11" t="s">
        <v>15</v>
      </c>
      <c r="B34" s="1">
        <v>26</v>
      </c>
      <c r="C34" s="1">
        <v>202607</v>
      </c>
      <c r="D34" s="1">
        <v>202607</v>
      </c>
      <c r="E34" s="1" t="s">
        <v>16</v>
      </c>
      <c r="F34" s="1">
        <v>0</v>
      </c>
      <c r="G34" s="1" t="s">
        <v>17</v>
      </c>
      <c r="H34" s="1" t="s">
        <v>18</v>
      </c>
      <c r="I34" s="2">
        <v>4</v>
      </c>
      <c r="J34" s="3">
        <v>0</v>
      </c>
      <c r="K34" s="4">
        <v>0.05</v>
      </c>
      <c r="L34" s="5">
        <v>0.2</v>
      </c>
      <c r="M34" s="5">
        <v>0.01</v>
      </c>
      <c r="N34" s="5">
        <v>0</v>
      </c>
      <c r="O34" s="5">
        <v>0.21</v>
      </c>
    </row>
    <row r="35" spans="1:15" x14ac:dyDescent="0.3">
      <c r="A35" s="11" t="s">
        <v>15</v>
      </c>
      <c r="B35" s="1">
        <v>455</v>
      </c>
      <c r="C35" s="1">
        <v>202607</v>
      </c>
      <c r="D35" s="1">
        <v>202607</v>
      </c>
      <c r="E35" s="1" t="s">
        <v>16</v>
      </c>
      <c r="F35" s="1">
        <v>0</v>
      </c>
      <c r="G35" s="1" t="s">
        <v>17</v>
      </c>
      <c r="H35" s="1" t="s">
        <v>18</v>
      </c>
      <c r="I35" s="2">
        <v>1</v>
      </c>
      <c r="J35" s="3">
        <v>0</v>
      </c>
      <c r="K35" s="4">
        <v>0.05</v>
      </c>
      <c r="L35" s="5">
        <v>0.05</v>
      </c>
      <c r="M35" s="5">
        <v>0</v>
      </c>
      <c r="N35" s="5">
        <v>0</v>
      </c>
      <c r="O35" s="5">
        <v>0.05</v>
      </c>
    </row>
    <row r="36" spans="1:15" x14ac:dyDescent="0.3">
      <c r="A36" s="11" t="s">
        <v>19</v>
      </c>
      <c r="B36" s="1">
        <v>68</v>
      </c>
      <c r="C36" s="1">
        <v>202607</v>
      </c>
      <c r="D36" s="1">
        <v>202607</v>
      </c>
      <c r="E36" s="1" t="s">
        <v>16</v>
      </c>
      <c r="F36" s="1">
        <v>0</v>
      </c>
      <c r="G36" s="1" t="s">
        <v>17</v>
      </c>
      <c r="H36" s="1" t="s">
        <v>18</v>
      </c>
      <c r="I36" s="2">
        <v>12</v>
      </c>
      <c r="J36" s="3">
        <v>0</v>
      </c>
      <c r="K36" s="4">
        <v>0.05</v>
      </c>
      <c r="L36" s="5">
        <v>0.6</v>
      </c>
      <c r="M36" s="5">
        <v>0.02</v>
      </c>
      <c r="N36" s="5">
        <v>0</v>
      </c>
      <c r="O36" s="5">
        <v>0.62</v>
      </c>
    </row>
    <row r="37" spans="1:15" x14ac:dyDescent="0.3">
      <c r="A37" s="11" t="s">
        <v>19</v>
      </c>
      <c r="B37" s="1">
        <v>30</v>
      </c>
      <c r="C37" s="1">
        <v>202607</v>
      </c>
      <c r="D37" s="1">
        <v>202607</v>
      </c>
      <c r="E37" s="1" t="s">
        <v>16</v>
      </c>
      <c r="F37" s="1">
        <v>0</v>
      </c>
      <c r="G37" s="1" t="s">
        <v>17</v>
      </c>
      <c r="H37" s="1" t="s">
        <v>18</v>
      </c>
      <c r="I37" s="2">
        <v>36</v>
      </c>
      <c r="J37" s="3">
        <v>0</v>
      </c>
      <c r="K37" s="4">
        <v>0.05</v>
      </c>
      <c r="L37" s="5">
        <v>1.8</v>
      </c>
      <c r="M37" s="5">
        <v>7.0000000000000007E-2</v>
      </c>
      <c r="N37" s="5">
        <v>0</v>
      </c>
      <c r="O37" s="5">
        <v>1.87</v>
      </c>
    </row>
    <row r="38" spans="1:15" x14ac:dyDescent="0.3">
      <c r="A38" s="11" t="s">
        <v>19</v>
      </c>
      <c r="B38" s="1">
        <v>3</v>
      </c>
      <c r="C38" s="1">
        <v>202607</v>
      </c>
      <c r="D38" s="1">
        <v>202607</v>
      </c>
      <c r="E38" s="1" t="s">
        <v>16</v>
      </c>
      <c r="F38" s="1">
        <v>0</v>
      </c>
      <c r="G38" s="1" t="s">
        <v>17</v>
      </c>
      <c r="H38" s="1" t="s">
        <v>18</v>
      </c>
      <c r="I38" s="2">
        <v>24</v>
      </c>
      <c r="J38" s="3">
        <v>0</v>
      </c>
      <c r="K38" s="4">
        <v>0.05</v>
      </c>
      <c r="L38" s="5">
        <v>1.2</v>
      </c>
      <c r="M38" s="5">
        <v>0.05</v>
      </c>
      <c r="N38" s="5">
        <v>0</v>
      </c>
      <c r="O38" s="5">
        <v>1.25</v>
      </c>
    </row>
    <row r="39" spans="1:15" x14ac:dyDescent="0.3">
      <c r="A39" s="11" t="s">
        <v>19</v>
      </c>
      <c r="B39" s="1">
        <v>455</v>
      </c>
      <c r="C39" s="1">
        <v>202607</v>
      </c>
      <c r="D39" s="1">
        <v>202607</v>
      </c>
      <c r="E39" s="1" t="s">
        <v>16</v>
      </c>
      <c r="F39" s="1">
        <v>0</v>
      </c>
      <c r="G39" s="1" t="s">
        <v>17</v>
      </c>
      <c r="H39" s="1" t="s">
        <v>18</v>
      </c>
      <c r="I39" s="2">
        <v>13</v>
      </c>
      <c r="J39" s="3">
        <v>0</v>
      </c>
      <c r="K39" s="4">
        <v>0.05</v>
      </c>
      <c r="L39" s="5">
        <v>0.65</v>
      </c>
      <c r="M39" s="5">
        <v>0.02</v>
      </c>
      <c r="N39" s="5">
        <v>0</v>
      </c>
      <c r="O39" s="5">
        <v>0.67</v>
      </c>
    </row>
    <row r="40" spans="1:15" x14ac:dyDescent="0.3">
      <c r="A40" s="11" t="s">
        <v>21</v>
      </c>
      <c r="B40" s="1">
        <v>455</v>
      </c>
      <c r="C40" s="1">
        <v>202607</v>
      </c>
      <c r="D40" s="1">
        <v>202607</v>
      </c>
      <c r="E40" s="1" t="s">
        <v>16</v>
      </c>
      <c r="F40" s="1">
        <v>0</v>
      </c>
      <c r="G40" s="1" t="s">
        <v>17</v>
      </c>
      <c r="H40" s="1" t="s">
        <v>18</v>
      </c>
      <c r="I40" s="2">
        <v>1</v>
      </c>
      <c r="J40" s="3">
        <v>0</v>
      </c>
      <c r="K40" s="4">
        <v>0.05</v>
      </c>
      <c r="L40" s="5">
        <v>0.05</v>
      </c>
      <c r="M40" s="5">
        <v>0</v>
      </c>
      <c r="N40" s="5">
        <v>0</v>
      </c>
      <c r="O40" s="5">
        <v>0.05</v>
      </c>
    </row>
    <row r="41" spans="1:15" x14ac:dyDescent="0.3">
      <c r="A41" s="11" t="s">
        <v>15</v>
      </c>
      <c r="B41" s="1">
        <v>39</v>
      </c>
      <c r="C41" s="1">
        <v>202607</v>
      </c>
      <c r="D41" s="1">
        <v>202607</v>
      </c>
      <c r="E41" s="1" t="s">
        <v>16</v>
      </c>
      <c r="F41" s="1">
        <v>0</v>
      </c>
      <c r="G41" s="1" t="s">
        <v>17</v>
      </c>
      <c r="H41" s="1" t="s">
        <v>18</v>
      </c>
      <c r="I41" s="2">
        <v>9</v>
      </c>
      <c r="J41" s="3">
        <v>0</v>
      </c>
      <c r="K41" s="4">
        <v>0.05</v>
      </c>
      <c r="L41" s="5">
        <v>0.45</v>
      </c>
      <c r="M41" s="5">
        <v>0.02</v>
      </c>
      <c r="N41" s="5">
        <v>0</v>
      </c>
      <c r="O41" s="5">
        <v>0.47</v>
      </c>
    </row>
    <row r="42" spans="1:15" x14ac:dyDescent="0.3">
      <c r="A42" s="11" t="s">
        <v>15</v>
      </c>
      <c r="B42" s="1">
        <v>36</v>
      </c>
      <c r="C42" s="1">
        <v>202607</v>
      </c>
      <c r="D42" s="1">
        <v>202607</v>
      </c>
      <c r="E42" s="1" t="s">
        <v>16</v>
      </c>
      <c r="F42" s="1">
        <v>0</v>
      </c>
      <c r="G42" s="1" t="s">
        <v>17</v>
      </c>
      <c r="H42" s="1" t="s">
        <v>18</v>
      </c>
      <c r="I42" s="2">
        <v>3</v>
      </c>
      <c r="J42" s="3">
        <v>0</v>
      </c>
      <c r="K42" s="4">
        <v>0.05</v>
      </c>
      <c r="L42" s="5">
        <v>0.15</v>
      </c>
      <c r="M42" s="5">
        <v>0.01</v>
      </c>
      <c r="N42" s="5">
        <v>0</v>
      </c>
      <c r="O42" s="5">
        <v>0.16</v>
      </c>
    </row>
    <row r="43" spans="1:15" x14ac:dyDescent="0.3">
      <c r="A43" s="11" t="s">
        <v>15</v>
      </c>
      <c r="B43" s="1">
        <v>453</v>
      </c>
      <c r="C43" s="1">
        <v>202607</v>
      </c>
      <c r="D43" s="1">
        <v>202607</v>
      </c>
      <c r="E43" s="1" t="s">
        <v>16</v>
      </c>
      <c r="F43" s="1">
        <v>0</v>
      </c>
      <c r="G43" s="1" t="s">
        <v>17</v>
      </c>
      <c r="H43" s="1" t="s">
        <v>18</v>
      </c>
      <c r="I43" s="2">
        <v>3</v>
      </c>
      <c r="J43" s="3">
        <v>0</v>
      </c>
      <c r="K43" s="4">
        <v>0.05</v>
      </c>
      <c r="L43" s="5">
        <v>0.15</v>
      </c>
      <c r="M43" s="5">
        <v>0.01</v>
      </c>
      <c r="N43" s="5">
        <v>0</v>
      </c>
      <c r="O43" s="5">
        <v>0.16</v>
      </c>
    </row>
    <row r="44" spans="1:15" x14ac:dyDescent="0.3">
      <c r="A44" s="11" t="s">
        <v>20</v>
      </c>
      <c r="B44" s="1">
        <v>70</v>
      </c>
      <c r="C44" s="1">
        <v>202607</v>
      </c>
      <c r="D44" s="1">
        <v>202607</v>
      </c>
      <c r="E44" s="1" t="s">
        <v>16</v>
      </c>
      <c r="F44" s="1">
        <v>0</v>
      </c>
      <c r="G44" s="1" t="s">
        <v>17</v>
      </c>
      <c r="H44" s="1" t="s">
        <v>18</v>
      </c>
      <c r="I44" s="2">
        <v>1</v>
      </c>
      <c r="J44" s="3">
        <v>0</v>
      </c>
      <c r="K44" s="4">
        <v>0.05</v>
      </c>
      <c r="L44" s="5">
        <v>0.05</v>
      </c>
      <c r="M44" s="5">
        <v>0</v>
      </c>
      <c r="N44" s="5">
        <v>0</v>
      </c>
      <c r="O44" s="5">
        <v>0.05</v>
      </c>
    </row>
    <row r="45" spans="1:15" x14ac:dyDescent="0.3">
      <c r="A45" s="11" t="s">
        <v>19</v>
      </c>
      <c r="B45" s="1">
        <v>66</v>
      </c>
      <c r="C45" s="1">
        <v>202607</v>
      </c>
      <c r="D45" s="1">
        <v>202607</v>
      </c>
      <c r="E45" s="1" t="s">
        <v>16</v>
      </c>
      <c r="F45" s="1">
        <v>0</v>
      </c>
      <c r="G45" s="1" t="s">
        <v>17</v>
      </c>
      <c r="H45" s="1" t="s">
        <v>18</v>
      </c>
      <c r="I45" s="2">
        <v>11</v>
      </c>
      <c r="J45" s="3">
        <v>0</v>
      </c>
      <c r="K45" s="4">
        <v>0.05</v>
      </c>
      <c r="L45" s="5">
        <v>0.55000000000000004</v>
      </c>
      <c r="M45" s="5">
        <v>0.02</v>
      </c>
      <c r="N45" s="5">
        <v>0</v>
      </c>
      <c r="O45" s="5">
        <v>0.56999999999999995</v>
      </c>
    </row>
    <row r="46" spans="1:15" x14ac:dyDescent="0.3">
      <c r="A46" s="11" t="s">
        <v>15</v>
      </c>
      <c r="B46" s="1">
        <v>10</v>
      </c>
      <c r="C46" s="1">
        <v>202607</v>
      </c>
      <c r="D46" s="1">
        <v>202607</v>
      </c>
      <c r="E46" s="1" t="s">
        <v>16</v>
      </c>
      <c r="F46" s="1">
        <v>0</v>
      </c>
      <c r="G46" s="1" t="s">
        <v>17</v>
      </c>
      <c r="H46" s="1" t="s">
        <v>18</v>
      </c>
      <c r="I46" s="2">
        <v>77</v>
      </c>
      <c r="J46" s="3">
        <v>0</v>
      </c>
      <c r="K46" s="4">
        <v>0.05</v>
      </c>
      <c r="L46" s="5">
        <v>3.85</v>
      </c>
      <c r="M46" s="5">
        <v>0.15</v>
      </c>
      <c r="N46" s="5">
        <v>0</v>
      </c>
      <c r="O46" s="5">
        <v>4</v>
      </c>
    </row>
    <row r="47" spans="1:15" x14ac:dyDescent="0.3">
      <c r="A47" s="11" t="s">
        <v>19</v>
      </c>
      <c r="B47" s="1">
        <v>36</v>
      </c>
      <c r="C47" s="1">
        <v>202607</v>
      </c>
      <c r="D47" s="1">
        <v>202607</v>
      </c>
      <c r="E47" s="1" t="s">
        <v>16</v>
      </c>
      <c r="F47" s="1">
        <v>0</v>
      </c>
      <c r="G47" s="1" t="s">
        <v>17</v>
      </c>
      <c r="H47" s="1" t="s">
        <v>18</v>
      </c>
      <c r="I47" s="2">
        <v>2</v>
      </c>
      <c r="J47" s="3">
        <v>0</v>
      </c>
      <c r="K47" s="4">
        <v>0.05</v>
      </c>
      <c r="L47" s="5">
        <v>0.1</v>
      </c>
      <c r="M47" s="5">
        <v>0</v>
      </c>
      <c r="N47" s="5">
        <v>0</v>
      </c>
      <c r="O47" s="5">
        <v>0.1</v>
      </c>
    </row>
    <row r="48" spans="1:15" x14ac:dyDescent="0.3">
      <c r="A48" s="11" t="s">
        <v>15</v>
      </c>
      <c r="B48" s="1">
        <v>64</v>
      </c>
      <c r="C48" s="1">
        <v>202607</v>
      </c>
      <c r="D48" s="1">
        <v>202607</v>
      </c>
      <c r="E48" s="1" t="s">
        <v>16</v>
      </c>
      <c r="F48" s="1">
        <v>0</v>
      </c>
      <c r="G48" s="1" t="s">
        <v>17</v>
      </c>
      <c r="H48" s="1" t="s">
        <v>18</v>
      </c>
      <c r="I48" s="2">
        <v>42</v>
      </c>
      <c r="J48" s="3">
        <v>0</v>
      </c>
      <c r="K48" s="4">
        <v>0.05</v>
      </c>
      <c r="L48" s="5">
        <v>2.1</v>
      </c>
      <c r="M48" s="5">
        <v>0.08</v>
      </c>
      <c r="N48" s="5">
        <v>0</v>
      </c>
      <c r="O48" s="5">
        <v>2.1800000000000002</v>
      </c>
    </row>
    <row r="49" spans="1:15" x14ac:dyDescent="0.3">
      <c r="A49" s="11" t="s">
        <v>15</v>
      </c>
      <c r="B49" s="1">
        <v>37</v>
      </c>
      <c r="C49" s="1">
        <v>202607</v>
      </c>
      <c r="D49" s="1">
        <v>202607</v>
      </c>
      <c r="E49" s="1" t="s">
        <v>16</v>
      </c>
      <c r="F49" s="1">
        <v>0</v>
      </c>
      <c r="G49" s="1" t="s">
        <v>17</v>
      </c>
      <c r="H49" s="1" t="s">
        <v>18</v>
      </c>
      <c r="I49" s="2">
        <v>5</v>
      </c>
      <c r="J49" s="3">
        <v>0</v>
      </c>
      <c r="K49" s="4">
        <v>0.05</v>
      </c>
      <c r="L49" s="5">
        <v>0.25</v>
      </c>
      <c r="M49" s="5">
        <v>0.01</v>
      </c>
      <c r="N49" s="5">
        <v>0</v>
      </c>
      <c r="O49" s="5">
        <v>0.26</v>
      </c>
    </row>
    <row r="50" spans="1:15" x14ac:dyDescent="0.3">
      <c r="A50" s="11" t="s">
        <v>20</v>
      </c>
      <c r="B50" s="1">
        <v>20</v>
      </c>
      <c r="C50" s="1">
        <v>202607</v>
      </c>
      <c r="D50" s="1">
        <v>202607</v>
      </c>
      <c r="E50" s="1" t="s">
        <v>16</v>
      </c>
      <c r="F50" s="1">
        <v>0</v>
      </c>
      <c r="G50" s="1" t="s">
        <v>17</v>
      </c>
      <c r="H50" s="1" t="s">
        <v>18</v>
      </c>
      <c r="I50" s="2">
        <v>8</v>
      </c>
      <c r="J50" s="3">
        <v>0</v>
      </c>
      <c r="K50" s="4">
        <v>0.05</v>
      </c>
      <c r="L50" s="5">
        <v>0.4</v>
      </c>
      <c r="M50" s="5">
        <v>0.02</v>
      </c>
      <c r="N50" s="5">
        <v>0</v>
      </c>
      <c r="O50" s="5">
        <v>0.42</v>
      </c>
    </row>
    <row r="51" spans="1:15" x14ac:dyDescent="0.3">
      <c r="A51" s="11" t="s">
        <v>15</v>
      </c>
      <c r="B51" s="1">
        <v>45</v>
      </c>
      <c r="C51" s="1">
        <v>202607</v>
      </c>
      <c r="D51" s="1">
        <v>202607</v>
      </c>
      <c r="E51" s="1" t="s">
        <v>16</v>
      </c>
      <c r="F51" s="1">
        <v>0</v>
      </c>
      <c r="G51" s="1" t="s">
        <v>17</v>
      </c>
      <c r="H51" s="1" t="s">
        <v>18</v>
      </c>
      <c r="I51" s="2">
        <v>155</v>
      </c>
      <c r="J51" s="3">
        <v>0</v>
      </c>
      <c r="K51" s="4">
        <v>0.05</v>
      </c>
      <c r="L51" s="5">
        <v>7.75</v>
      </c>
      <c r="M51" s="5">
        <v>0.28999999999999998</v>
      </c>
      <c r="N51" s="5">
        <v>0</v>
      </c>
      <c r="O51" s="5">
        <v>8.0399999999999991</v>
      </c>
    </row>
    <row r="52" spans="1:15" x14ac:dyDescent="0.3">
      <c r="A52" s="11" t="s">
        <v>19</v>
      </c>
      <c r="B52" s="1">
        <v>39</v>
      </c>
      <c r="C52" s="1">
        <v>202607</v>
      </c>
      <c r="D52" s="1">
        <v>202607</v>
      </c>
      <c r="E52" s="1" t="s">
        <v>16</v>
      </c>
      <c r="F52" s="1">
        <v>0</v>
      </c>
      <c r="G52" s="1" t="s">
        <v>17</v>
      </c>
      <c r="H52" s="1" t="s">
        <v>18</v>
      </c>
      <c r="I52" s="2">
        <v>6</v>
      </c>
      <c r="J52" s="3">
        <v>0</v>
      </c>
      <c r="K52" s="4">
        <v>0.05</v>
      </c>
      <c r="L52" s="5">
        <v>0.3</v>
      </c>
      <c r="M52" s="5">
        <v>0.01</v>
      </c>
      <c r="N52" s="5">
        <v>0</v>
      </c>
      <c r="O52" s="5">
        <v>0.31</v>
      </c>
    </row>
    <row r="53" spans="1:15" x14ac:dyDescent="0.3">
      <c r="A53" s="11" t="s">
        <v>15</v>
      </c>
      <c r="B53" s="1">
        <v>45</v>
      </c>
      <c r="C53" s="1">
        <v>202607</v>
      </c>
      <c r="D53" s="1">
        <v>202607</v>
      </c>
      <c r="E53" s="1" t="s">
        <v>22</v>
      </c>
      <c r="F53" s="1">
        <v>0</v>
      </c>
      <c r="G53" s="1" t="s">
        <v>17</v>
      </c>
      <c r="H53" s="1" t="s">
        <v>18</v>
      </c>
      <c r="I53" s="2">
        <v>3</v>
      </c>
      <c r="J53" s="3">
        <v>0</v>
      </c>
      <c r="K53" s="4">
        <v>0.05</v>
      </c>
      <c r="L53" s="5">
        <v>0.15</v>
      </c>
      <c r="M53" s="5">
        <v>0.01</v>
      </c>
      <c r="N53" s="5">
        <v>0</v>
      </c>
      <c r="O53" s="5">
        <v>0.16</v>
      </c>
    </row>
    <row r="54" spans="1:15" x14ac:dyDescent="0.3">
      <c r="A54" s="11" t="s">
        <v>19</v>
      </c>
      <c r="B54" s="1">
        <v>457</v>
      </c>
      <c r="C54" s="1">
        <v>202607</v>
      </c>
      <c r="D54" s="1">
        <v>202607</v>
      </c>
      <c r="E54" s="1" t="s">
        <v>22</v>
      </c>
      <c r="F54" s="1">
        <v>0</v>
      </c>
      <c r="G54" s="1" t="s">
        <v>17</v>
      </c>
      <c r="H54" s="1" t="s">
        <v>18</v>
      </c>
      <c r="I54" s="2">
        <v>2</v>
      </c>
      <c r="J54" s="3">
        <v>0</v>
      </c>
      <c r="K54" s="4">
        <v>0.05</v>
      </c>
      <c r="L54" s="5">
        <v>0.1</v>
      </c>
      <c r="M54" s="5">
        <v>0</v>
      </c>
      <c r="N54" s="5">
        <v>0</v>
      </c>
      <c r="O54" s="5">
        <v>0.1</v>
      </c>
    </row>
    <row r="55" spans="1:15" x14ac:dyDescent="0.3">
      <c r="A55" s="11" t="s">
        <v>21</v>
      </c>
      <c r="B55" s="1">
        <v>10</v>
      </c>
      <c r="C55" s="1">
        <v>202607</v>
      </c>
      <c r="D55" s="1">
        <v>202607</v>
      </c>
      <c r="E55" s="1" t="s">
        <v>22</v>
      </c>
      <c r="F55" s="1">
        <v>0</v>
      </c>
      <c r="G55" s="1" t="s">
        <v>17</v>
      </c>
      <c r="H55" s="1" t="s">
        <v>18</v>
      </c>
      <c r="I55" s="2">
        <v>1</v>
      </c>
      <c r="J55" s="3">
        <v>0</v>
      </c>
      <c r="K55" s="4">
        <v>0.05</v>
      </c>
      <c r="L55" s="5">
        <v>0.05</v>
      </c>
      <c r="M55" s="5">
        <v>0</v>
      </c>
      <c r="N55" s="5">
        <v>0</v>
      </c>
      <c r="O55" s="5">
        <v>0.05</v>
      </c>
    </row>
    <row r="56" spans="1:15" x14ac:dyDescent="0.3">
      <c r="A56" s="11" t="s">
        <v>15</v>
      </c>
      <c r="B56" s="1">
        <v>10</v>
      </c>
      <c r="C56" s="1">
        <v>202607</v>
      </c>
      <c r="D56" s="1">
        <v>202607</v>
      </c>
      <c r="E56" s="1" t="s">
        <v>22</v>
      </c>
      <c r="F56" s="1">
        <v>0</v>
      </c>
      <c r="G56" s="1" t="s">
        <v>17</v>
      </c>
      <c r="H56" s="1" t="s">
        <v>18</v>
      </c>
      <c r="I56" s="2">
        <v>21</v>
      </c>
      <c r="J56" s="3">
        <v>0</v>
      </c>
      <c r="K56" s="4">
        <v>0.05</v>
      </c>
      <c r="L56" s="5">
        <v>1.05</v>
      </c>
      <c r="M56" s="5">
        <v>0.04</v>
      </c>
      <c r="N56" s="5">
        <v>0</v>
      </c>
      <c r="O56" s="5">
        <v>1.0900000000000001</v>
      </c>
    </row>
    <row r="57" spans="1:15" x14ac:dyDescent="0.3">
      <c r="A57" s="11" t="s">
        <v>19</v>
      </c>
      <c r="B57" s="1">
        <v>70</v>
      </c>
      <c r="C57" s="1">
        <v>202607</v>
      </c>
      <c r="D57" s="1">
        <v>202607</v>
      </c>
      <c r="E57" s="1" t="s">
        <v>22</v>
      </c>
      <c r="F57" s="1">
        <v>0</v>
      </c>
      <c r="G57" s="1" t="s">
        <v>17</v>
      </c>
      <c r="H57" s="1" t="s">
        <v>18</v>
      </c>
      <c r="I57" s="2">
        <v>3</v>
      </c>
      <c r="J57" s="3">
        <v>0</v>
      </c>
      <c r="K57" s="4">
        <v>0.05</v>
      </c>
      <c r="L57" s="5">
        <v>0.15</v>
      </c>
      <c r="M57" s="5">
        <v>0.01</v>
      </c>
      <c r="N57" s="5">
        <v>0</v>
      </c>
      <c r="O57" s="5">
        <v>0.16</v>
      </c>
    </row>
    <row r="58" spans="1:15" x14ac:dyDescent="0.3">
      <c r="A58" s="11" t="s">
        <v>19</v>
      </c>
      <c r="B58" s="1">
        <v>37</v>
      </c>
      <c r="C58" s="1">
        <v>202607</v>
      </c>
      <c r="D58" s="1">
        <v>202607</v>
      </c>
      <c r="E58" s="1" t="s">
        <v>22</v>
      </c>
      <c r="F58" s="1">
        <v>0</v>
      </c>
      <c r="G58" s="1" t="s">
        <v>17</v>
      </c>
      <c r="H58" s="1" t="s">
        <v>18</v>
      </c>
      <c r="I58" s="2">
        <v>5</v>
      </c>
      <c r="J58" s="3">
        <v>0</v>
      </c>
      <c r="K58" s="4">
        <v>0.05</v>
      </c>
      <c r="L58" s="5">
        <v>0.25</v>
      </c>
      <c r="M58" s="5">
        <v>0.01</v>
      </c>
      <c r="N58" s="5">
        <v>0</v>
      </c>
      <c r="O58" s="5">
        <v>0.26</v>
      </c>
    </row>
    <row r="59" spans="1:15" x14ac:dyDescent="0.3">
      <c r="A59" s="11" t="s">
        <v>20</v>
      </c>
      <c r="B59" s="1">
        <v>44</v>
      </c>
      <c r="C59" s="1">
        <v>202607</v>
      </c>
      <c r="D59" s="1">
        <v>202607</v>
      </c>
      <c r="E59" s="1" t="s">
        <v>22</v>
      </c>
      <c r="F59" s="1">
        <v>0</v>
      </c>
      <c r="G59" s="1" t="s">
        <v>17</v>
      </c>
      <c r="H59" s="1" t="s">
        <v>18</v>
      </c>
      <c r="I59" s="2">
        <v>63</v>
      </c>
      <c r="J59" s="3">
        <v>0</v>
      </c>
      <c r="K59" s="4">
        <v>0.05</v>
      </c>
      <c r="L59" s="5">
        <v>3.15</v>
      </c>
      <c r="M59" s="5">
        <v>0.12</v>
      </c>
      <c r="N59" s="5">
        <v>0</v>
      </c>
      <c r="O59" s="5">
        <v>3.27</v>
      </c>
    </row>
    <row r="60" spans="1:15" x14ac:dyDescent="0.3">
      <c r="A60" s="11" t="s">
        <v>19</v>
      </c>
      <c r="B60" s="1">
        <v>10</v>
      </c>
      <c r="C60" s="1">
        <v>202607</v>
      </c>
      <c r="D60" s="1">
        <v>202607</v>
      </c>
      <c r="E60" s="1" t="s">
        <v>22</v>
      </c>
      <c r="F60" s="1">
        <v>0</v>
      </c>
      <c r="G60" s="1" t="s">
        <v>17</v>
      </c>
      <c r="H60" s="1" t="s">
        <v>18</v>
      </c>
      <c r="I60" s="2">
        <v>241</v>
      </c>
      <c r="J60" s="3">
        <v>0</v>
      </c>
      <c r="K60" s="4">
        <v>0.05</v>
      </c>
      <c r="L60" s="5">
        <v>12.05</v>
      </c>
      <c r="M60" s="5">
        <v>0.46</v>
      </c>
      <c r="N60" s="5">
        <v>0</v>
      </c>
      <c r="O60" s="5">
        <v>12.51</v>
      </c>
    </row>
    <row r="61" spans="1:15" x14ac:dyDescent="0.3">
      <c r="A61" s="11" t="s">
        <v>19</v>
      </c>
      <c r="B61" s="1">
        <v>68</v>
      </c>
      <c r="C61" s="1">
        <v>202607</v>
      </c>
      <c r="D61" s="1">
        <v>202607</v>
      </c>
      <c r="E61" s="1" t="s">
        <v>22</v>
      </c>
      <c r="F61" s="1">
        <v>0</v>
      </c>
      <c r="G61" s="1" t="s">
        <v>17</v>
      </c>
      <c r="H61" s="1" t="s">
        <v>18</v>
      </c>
      <c r="I61" s="2">
        <v>1</v>
      </c>
      <c r="J61" s="3">
        <v>0</v>
      </c>
      <c r="K61" s="4">
        <v>0.05</v>
      </c>
      <c r="L61" s="5">
        <v>0.05</v>
      </c>
      <c r="M61" s="5">
        <v>0</v>
      </c>
      <c r="N61" s="5">
        <v>0</v>
      </c>
      <c r="O61" s="5">
        <v>0.05</v>
      </c>
    </row>
    <row r="62" spans="1:15" x14ac:dyDescent="0.3">
      <c r="A62" s="11" t="s">
        <v>19</v>
      </c>
      <c r="B62" s="1">
        <v>30</v>
      </c>
      <c r="C62" s="1">
        <v>202607</v>
      </c>
      <c r="D62" s="1">
        <v>202607</v>
      </c>
      <c r="E62" s="1" t="s">
        <v>22</v>
      </c>
      <c r="F62" s="1">
        <v>0</v>
      </c>
      <c r="G62" s="1" t="s">
        <v>17</v>
      </c>
      <c r="H62" s="1" t="s">
        <v>18</v>
      </c>
      <c r="I62" s="2">
        <v>1</v>
      </c>
      <c r="J62" s="3">
        <v>0</v>
      </c>
      <c r="K62" s="4">
        <v>0.05</v>
      </c>
      <c r="L62" s="5">
        <v>0.05</v>
      </c>
      <c r="M62" s="5">
        <v>0</v>
      </c>
      <c r="N62" s="5">
        <v>0</v>
      </c>
      <c r="O62" s="5">
        <v>0.05</v>
      </c>
    </row>
    <row r="63" spans="1:15" x14ac:dyDescent="0.3">
      <c r="A63" s="11" t="s">
        <v>19</v>
      </c>
      <c r="B63" s="1">
        <v>26</v>
      </c>
      <c r="C63" s="1">
        <v>202607</v>
      </c>
      <c r="D63" s="1">
        <v>202607</v>
      </c>
      <c r="E63" s="1" t="s">
        <v>22</v>
      </c>
      <c r="F63" s="1">
        <v>0</v>
      </c>
      <c r="G63" s="1" t="s">
        <v>17</v>
      </c>
      <c r="H63" s="1" t="s">
        <v>18</v>
      </c>
      <c r="I63" s="2">
        <v>3</v>
      </c>
      <c r="J63" s="3">
        <v>0</v>
      </c>
      <c r="K63" s="4">
        <v>0.05</v>
      </c>
      <c r="L63" s="5">
        <v>0.15</v>
      </c>
      <c r="M63" s="5">
        <v>0.01</v>
      </c>
      <c r="N63" s="5">
        <v>0</v>
      </c>
      <c r="O63" s="5">
        <v>0.16</v>
      </c>
    </row>
    <row r="64" spans="1:15" x14ac:dyDescent="0.3">
      <c r="A64" s="11" t="s">
        <v>19</v>
      </c>
      <c r="B64" s="1">
        <v>455</v>
      </c>
      <c r="C64" s="1">
        <v>202607</v>
      </c>
      <c r="D64" s="1">
        <v>202607</v>
      </c>
      <c r="E64" s="1" t="s">
        <v>22</v>
      </c>
      <c r="F64" s="1">
        <v>0</v>
      </c>
      <c r="G64" s="1" t="s">
        <v>17</v>
      </c>
      <c r="H64" s="1" t="s">
        <v>18</v>
      </c>
      <c r="I64" s="2">
        <v>14</v>
      </c>
      <c r="J64" s="3">
        <v>0</v>
      </c>
      <c r="K64" s="4">
        <v>0.05</v>
      </c>
      <c r="L64" s="5">
        <v>0.7</v>
      </c>
      <c r="M64" s="5">
        <v>0.03</v>
      </c>
      <c r="N64" s="5">
        <v>0</v>
      </c>
      <c r="O64" s="5">
        <v>0.73</v>
      </c>
    </row>
    <row r="65" spans="1:15" x14ac:dyDescent="0.3">
      <c r="A65" s="11" t="s">
        <v>19</v>
      </c>
      <c r="B65" s="1">
        <v>453</v>
      </c>
      <c r="C65" s="1">
        <v>202607</v>
      </c>
      <c r="D65" s="1">
        <v>202607</v>
      </c>
      <c r="E65" s="1" t="s">
        <v>22</v>
      </c>
      <c r="F65" s="1">
        <v>0</v>
      </c>
      <c r="G65" s="1" t="s">
        <v>17</v>
      </c>
      <c r="H65" s="1" t="s">
        <v>18</v>
      </c>
      <c r="I65" s="2">
        <v>7</v>
      </c>
      <c r="J65" s="3">
        <v>0</v>
      </c>
      <c r="K65" s="4">
        <v>0.05</v>
      </c>
      <c r="L65" s="5">
        <v>0.35</v>
      </c>
      <c r="M65" s="5">
        <v>0.01</v>
      </c>
      <c r="N65" s="5">
        <v>0</v>
      </c>
      <c r="O65" s="5">
        <v>0.36</v>
      </c>
    </row>
    <row r="66" spans="1:15" x14ac:dyDescent="0.3">
      <c r="A66" s="11" t="s">
        <v>19</v>
      </c>
      <c r="B66" s="1">
        <v>50</v>
      </c>
      <c r="C66" s="1">
        <v>202607</v>
      </c>
      <c r="D66" s="1">
        <v>202607</v>
      </c>
      <c r="E66" s="1" t="s">
        <v>22</v>
      </c>
      <c r="F66" s="1">
        <v>0</v>
      </c>
      <c r="G66" s="1" t="s">
        <v>17</v>
      </c>
      <c r="H66" s="1" t="s">
        <v>18</v>
      </c>
      <c r="I66" s="2">
        <v>6</v>
      </c>
      <c r="J66" s="3">
        <v>0</v>
      </c>
      <c r="K66" s="4">
        <v>0.05</v>
      </c>
      <c r="L66" s="5">
        <v>0.3</v>
      </c>
      <c r="M66" s="5">
        <v>0.01</v>
      </c>
      <c r="N66" s="5">
        <v>0</v>
      </c>
      <c r="O66" s="5">
        <v>0.31</v>
      </c>
    </row>
    <row r="67" spans="1:15" x14ac:dyDescent="0.3">
      <c r="A67" s="11" t="s">
        <v>19</v>
      </c>
      <c r="B67" s="1">
        <v>64</v>
      </c>
      <c r="C67" s="1">
        <v>202607</v>
      </c>
      <c r="D67" s="1">
        <v>202607</v>
      </c>
      <c r="E67" s="1" t="s">
        <v>22</v>
      </c>
      <c r="F67" s="1">
        <v>0</v>
      </c>
      <c r="G67" s="1" t="s">
        <v>17</v>
      </c>
      <c r="H67" s="1" t="s">
        <v>18</v>
      </c>
      <c r="I67" s="2">
        <v>1</v>
      </c>
      <c r="J67" s="3">
        <v>0</v>
      </c>
      <c r="K67" s="4">
        <v>0.05</v>
      </c>
      <c r="L67" s="5">
        <v>0.05</v>
      </c>
      <c r="M67" s="5">
        <v>0</v>
      </c>
      <c r="N67" s="5">
        <v>0</v>
      </c>
      <c r="O67" s="5">
        <v>0.05</v>
      </c>
    </row>
    <row r="68" spans="1:15" x14ac:dyDescent="0.3">
      <c r="A68" s="11" t="s">
        <v>15</v>
      </c>
      <c r="B68" s="1">
        <v>50</v>
      </c>
      <c r="C68" s="1">
        <v>202607</v>
      </c>
      <c r="D68" s="1">
        <v>202607</v>
      </c>
      <c r="E68" s="1" t="s">
        <v>22</v>
      </c>
      <c r="F68" s="1">
        <v>0</v>
      </c>
      <c r="G68" s="1" t="s">
        <v>17</v>
      </c>
      <c r="H68" s="1" t="s">
        <v>18</v>
      </c>
      <c r="I68" s="2">
        <v>896</v>
      </c>
      <c r="J68" s="3">
        <v>0</v>
      </c>
      <c r="K68" s="4">
        <v>0.05</v>
      </c>
      <c r="L68" s="5">
        <v>44.8</v>
      </c>
      <c r="M68" s="5">
        <v>1.7</v>
      </c>
      <c r="N68" s="5">
        <v>0</v>
      </c>
      <c r="O68" s="5">
        <v>46.5</v>
      </c>
    </row>
    <row r="69" spans="1:15" x14ac:dyDescent="0.3">
      <c r="A69" s="11" t="s">
        <v>19</v>
      </c>
      <c r="B69" s="1">
        <v>45</v>
      </c>
      <c r="C69" s="1">
        <v>202607</v>
      </c>
      <c r="D69" s="1">
        <v>202607</v>
      </c>
      <c r="E69" s="1" t="s">
        <v>22</v>
      </c>
      <c r="F69" s="1">
        <v>0</v>
      </c>
      <c r="G69" s="1" t="s">
        <v>17</v>
      </c>
      <c r="H69" s="1" t="s">
        <v>18</v>
      </c>
      <c r="I69" s="2">
        <v>1143</v>
      </c>
      <c r="J69" s="3">
        <v>0</v>
      </c>
      <c r="K69" s="4">
        <v>0.05</v>
      </c>
      <c r="L69" s="5">
        <v>57.15</v>
      </c>
      <c r="M69" s="5">
        <v>2.17</v>
      </c>
      <c r="N69" s="5">
        <v>0</v>
      </c>
      <c r="O69" s="5">
        <v>59.32</v>
      </c>
    </row>
    <row r="70" spans="1:15" x14ac:dyDescent="0.3">
      <c r="A70" s="11" t="s">
        <v>19</v>
      </c>
      <c r="B70" s="1">
        <v>20</v>
      </c>
      <c r="C70" s="1">
        <v>202607</v>
      </c>
      <c r="D70" s="1">
        <v>202607</v>
      </c>
      <c r="E70" s="1" t="s">
        <v>22</v>
      </c>
      <c r="F70" s="1">
        <v>0</v>
      </c>
      <c r="G70" s="1" t="s">
        <v>17</v>
      </c>
      <c r="H70" s="1" t="s">
        <v>18</v>
      </c>
      <c r="I70" s="2">
        <v>14</v>
      </c>
      <c r="J70" s="3">
        <v>0</v>
      </c>
      <c r="K70" s="4">
        <v>0.05</v>
      </c>
      <c r="L70" s="5">
        <v>0.7</v>
      </c>
      <c r="M70" s="5">
        <v>0.03</v>
      </c>
      <c r="N70" s="5">
        <v>0</v>
      </c>
      <c r="O70" s="5">
        <v>0.73</v>
      </c>
    </row>
    <row r="71" spans="1:15" x14ac:dyDescent="0.3">
      <c r="A71" s="11" t="s">
        <v>19</v>
      </c>
      <c r="B71" s="1">
        <v>44</v>
      </c>
      <c r="C71" s="1">
        <v>202607</v>
      </c>
      <c r="D71" s="1">
        <v>202607</v>
      </c>
      <c r="E71" s="1" t="s">
        <v>22</v>
      </c>
      <c r="F71" s="1">
        <v>0</v>
      </c>
      <c r="G71" s="1" t="s">
        <v>17</v>
      </c>
      <c r="H71" s="1" t="s">
        <v>18</v>
      </c>
      <c r="I71" s="2">
        <v>25</v>
      </c>
      <c r="J71" s="3">
        <v>0</v>
      </c>
      <c r="K71" s="4">
        <v>0.05</v>
      </c>
      <c r="L71" s="5">
        <v>1.25</v>
      </c>
      <c r="M71" s="5">
        <v>0.05</v>
      </c>
      <c r="N71" s="5">
        <v>0</v>
      </c>
      <c r="O71" s="5">
        <v>1.3</v>
      </c>
    </row>
    <row r="72" spans="1:15" x14ac:dyDescent="0.3">
      <c r="A72" s="11" t="s">
        <v>20</v>
      </c>
      <c r="B72" s="1">
        <v>10</v>
      </c>
      <c r="C72" s="1">
        <v>202607</v>
      </c>
      <c r="D72" s="1">
        <v>202607</v>
      </c>
      <c r="E72" s="1" t="s">
        <v>22</v>
      </c>
      <c r="F72" s="1">
        <v>0</v>
      </c>
      <c r="G72" s="1" t="s">
        <v>17</v>
      </c>
      <c r="H72" s="1" t="s">
        <v>18</v>
      </c>
      <c r="I72" s="2">
        <v>3</v>
      </c>
      <c r="J72" s="3">
        <v>0</v>
      </c>
      <c r="K72" s="4">
        <v>0.05</v>
      </c>
      <c r="L72" s="5">
        <v>0.15</v>
      </c>
      <c r="M72" s="5">
        <v>0.01</v>
      </c>
      <c r="N72" s="5">
        <v>0</v>
      </c>
      <c r="O72" s="5">
        <v>0.16</v>
      </c>
    </row>
    <row r="74" spans="1:15" x14ac:dyDescent="0.3">
      <c r="F74" s="1">
        <v>1</v>
      </c>
      <c r="I74" s="2">
        <f>SUM(I2:I72)</f>
        <v>10728</v>
      </c>
      <c r="J74" s="3">
        <f>SUM(J2:J72)</f>
        <v>0</v>
      </c>
      <c r="L74" s="5">
        <f>SUM(L2:L72)</f>
        <v>536.40000000000009</v>
      </c>
      <c r="M74" s="5">
        <f>SUM(M2:M72)</f>
        <v>20.349999999999994</v>
      </c>
      <c r="N74" s="5">
        <f>SUM(N2:N72)</f>
        <v>0</v>
      </c>
      <c r="O74" s="5">
        <f>SUM(O2:O72)</f>
        <v>556.75000000000045</v>
      </c>
    </row>
    <row r="77" spans="1:15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7c68a4-1db7-4035-9add-6586fd13e4fc" xsi:nil="true"/>
    <lcf76f155ced4ddcb4097134ff3c332f xmlns="b2dbc744-7d1b-4add-ac07-522377364d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697F79F9BF548A1C1862D2EE7C48C" ma:contentTypeVersion="16" ma:contentTypeDescription="Crie um novo documento." ma:contentTypeScope="" ma:versionID="15d1b6799a8116ebd9749b8c7c72bcfb">
  <xsd:schema xmlns:xsd="http://www.w3.org/2001/XMLSchema" xmlns:xs="http://www.w3.org/2001/XMLSchema" xmlns:p="http://schemas.microsoft.com/office/2006/metadata/properties" xmlns:ns2="b2dbc744-7d1b-4add-ac07-522377364de4" xmlns:ns3="5a7c68a4-1db7-4035-9add-6586fd13e4fc" targetNamespace="http://schemas.microsoft.com/office/2006/metadata/properties" ma:root="true" ma:fieldsID="e8cfae076b9651d1186e44aabe9c5bbe" ns2:_="" ns3:_="">
    <xsd:import namespace="b2dbc744-7d1b-4add-ac07-522377364de4"/>
    <xsd:import namespace="5a7c68a4-1db7-4035-9add-6586fd13e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c744-7d1b-4add-ac07-522377364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366eef-aeda-4813-ad90-24796c6192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c68a4-1db7-4035-9add-6586fd13e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095d39-e627-443d-9b9a-fe0e3e5a7464}" ma:internalName="TaxCatchAll" ma:showField="CatchAllData" ma:web="5a7c68a4-1db7-4035-9add-6586fd13e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B00643-962A-455F-8EFA-2068495C55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4239CD-781D-4EA0-AB8E-D8DEC6B94027}">
  <ds:schemaRefs>
    <ds:schemaRef ds:uri="http://schemas.microsoft.com/office/2006/metadata/properties"/>
    <ds:schemaRef ds:uri="http://schemas.microsoft.com/office/infopath/2007/PartnerControls"/>
    <ds:schemaRef ds:uri="5a7c68a4-1db7-4035-9add-6586fd13e4fc"/>
    <ds:schemaRef ds:uri="b2dbc744-7d1b-4add-ac07-522377364de4"/>
  </ds:schemaRefs>
</ds:datastoreItem>
</file>

<file path=customXml/itemProps3.xml><?xml version="1.0" encoding="utf-8"?>
<ds:datastoreItem xmlns:ds="http://schemas.openxmlformats.org/officeDocument/2006/customXml" ds:itemID="{867ACA69-7FE9-42BC-86CC-7C81162BD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bc744-7d1b-4add-ac07-522377364de4"/>
    <ds:schemaRef ds:uri="5a7c68a4-1db7-4035-9add-6586fd13e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Kloss</dc:creator>
  <cp:lastModifiedBy>Ariel Medina</cp:lastModifiedBy>
  <dcterms:created xsi:type="dcterms:W3CDTF">2026-08-05T16:52:41Z</dcterms:created>
  <dcterms:modified xsi:type="dcterms:W3CDTF">2026-08-06T11:39:00Z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0x0101005DF697F79F9BF548A1C1862D2EE7C48C</vt:lpwstr>
  </property>
  <property fmtid="{D5CDD505-2E9C-101B-9397-08002B2CF9AE}" pid="3" name="MediaServiceImageTags">
    <vt:lpwstr/>
  </property>
</Properties>
</file>