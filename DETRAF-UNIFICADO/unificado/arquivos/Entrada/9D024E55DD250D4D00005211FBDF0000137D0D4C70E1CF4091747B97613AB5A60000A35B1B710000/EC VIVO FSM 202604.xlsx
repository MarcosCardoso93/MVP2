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4288B237-80A2-4361-9620-BE8A3AAA3223}" xr6:coauthVersionLast="47" xr6:coauthVersionMax="47" xr10:uidLastSave="{00000000-0000-0000-0000-000000000000}"/>
  <bookViews>
    <workbookView xWindow="-110" yWindow="-110" windowWidth="19420" windowHeight="10300" xr2:uid="{3F054FF7-6CBD-4038-B092-AE41F32E0A82}"/>
  </bookViews>
  <sheets>
    <sheet name="FSM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AB68" i="1"/>
  <c r="AA68" i="1"/>
  <c r="P85" i="1" s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P82" i="1" s="1"/>
  <c r="G68" i="1"/>
  <c r="F68" i="1"/>
  <c r="E68" i="1"/>
  <c r="D68" i="1"/>
  <c r="C68" i="1"/>
  <c r="B68" i="1"/>
  <c r="P81" i="1" s="1"/>
  <c r="N2" i="1"/>
  <c r="L2" i="1"/>
  <c r="P83" i="1" l="1"/>
  <c r="P87" i="1"/>
  <c r="P89" i="1" l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<sst xmlns="http://schemas.openxmlformats.org/spreadsheetml/2006/main" count="61" uniqueCount="57">
  <si>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</si>
  <si>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</si>
  <si>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</si>
  <si>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</si>
  <si>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</si>
  <si>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</si>
  <si>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</si>
  <si>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</si>
  <si>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</si>
  <si>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</si>
  <si>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</si>
  <si>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</si>
  <si>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</si>
  <si>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</si>
  <si>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</si>
  <si>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</si>
  <si>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</si>
  <si>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</si>
  <si>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</si>
  <si>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</si>
  <si>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</si>
  <si>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</si>
  <si>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</si>
  <si>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</si>
  <si>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</si>
  <si>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</si>
  <si>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</si>
  <si>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</si>
  <si>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</si>
  <si>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</si>
  <si>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</si>
  <si>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</si>
  <si>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</si>
  <si>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</si>
  <si>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</si>
  <si>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</si>
  <si>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</si>
  <si>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</si>
  <si>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</si>
  <si>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</si>
  <si>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</si>
  <si>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</si>
  <si>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</si>
  <si>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</si>
  <si>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</si>
  <si>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</si>
  <si>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</si>
  <si>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</si>
  <si>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</si>
  <si>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</si>
  <si>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</si>
  <si>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</si>
  <si>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</si>
  <si>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</si>
  <si>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</si>
  <si>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</si>
  <si>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theme="5" tint="-0.499984740745262"/>
        <rFont val="Calibri"/>
        <family val="2"/>
        <scheme val="minor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</si>
</sst>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7DC2A312-969A-49C3-8CFD-5BFC36D1CD23}"/>
    <cellStyle name="Normal 2 2 22" xfId="10" xr:uid="{D25AB4BB-3FA6-44AD-A669-BAF766B6EB94}"/>
    <cellStyle name="Normal 84" xfId="5" xr:uid="{B0F9BEAB-EDD7-42A6-B541-ECE029017ACA}"/>
    <cellStyle name="Normal 9 2" xfId="2" xr:uid="{E297DBAA-41CB-4DB7-ACE8-AD036435EF47}"/>
    <cellStyle name="Porcentagem 2" xfId="6" xr:uid="{AADE5108-2A1B-48E2-93AD-3E363F50F51A}"/>
    <cellStyle name="Separador de milhares 10 2 2" xfId="8" xr:uid="{2DCF6264-694A-48B9-9F9F-B7DDFB383D3B}"/>
    <cellStyle name="Separador de milhares 14 4" xfId="9" xr:uid="{DA1FC493-94A5-4310-9C1A-1497869207A6}"/>
    <cellStyle name="Separador de milhares 22 2 2" xfId="7" xr:uid="{EE0D9496-7629-4612-920E-156D0078AC40}"/>
    <cellStyle name="Separador de milhares 22 4" xfId="11" xr:uid="{5C9881DC-A821-45FE-8EFC-1B398F5138E7}"/>
    <cellStyle name="Vírgula 2 3 3" xfId="4" xr:uid="{59E2BAB0-AF5C-4342-BCF1-B0B02818D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4C7C9FFA-E380-4822-A31D-85BAADD7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666C4594-6E83-4B1A-93B6-9A744580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8462F40D-E557-4190-8EB2-9C7BC79F5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E1681E2E-7FD9-40A6-9603-96BDD77A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F673DF46-A909-4FE8-8953-6AAF1A9E6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7914D4B9-C6A3-4021-9401-D82B28B7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4F0EDD-883A-4EDA-B114-D90AF7C2952A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4\EC_2026.04_Hugo.xlsm" TargetMode="External"/><Relationship Id="rId1" Type="http://schemas.openxmlformats.org/officeDocument/2006/relationships/externalLinkPath" Target="file:///\\Lagoa\di\DI-A\DI-A1\Encontro%20de%20Contas\2026\202604\EC_2026.04_Hug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STAR"/>
      <sheetName val="RMNETWORK"/>
      <sheetName val="MINUTOS"/>
      <sheetName val="BIGNET"/>
      <sheetName val="Controle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E851-5334-40DC-8E15-78250FE2A590}">
  <sheetPr codeName="Planilha13">
    <tabColor theme="2"/>
    <pageSetUpPr fitToPage="1"/>
  </sheetPr>
  <dimension ref="A1:BD140"/>
  <sheetViews>
    <sheetView showGridLines="0" tabSelected="1" zoomScale="55" zoomScaleNormal="55" workbookViewId="0">
      <pane xSplit="1" ySplit="6" topLeftCell="B72" activePane="bottomRight" state="frozen"/>
      <selection activeCell="O3" sqref="O3"/>
      <selection pane="topRight" activeCell="O3" sqref="O3"/>
      <selection pane="bottomLeft" activeCell="O3" sqref="O3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8.5429687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8" width="9.453125" style="3" customWidth="1"/>
    <col min="259" max="259" width="16.54296875" style="3" customWidth="1"/>
    <col min="260" max="260" width="18.453125" style="3" customWidth="1"/>
    <col min="261" max="261" width="9.453125" style="3" customWidth="1"/>
    <col min="262" max="262" width="17.453125" style="3" customWidth="1"/>
    <col min="263" max="263" width="9.453125" style="3" customWidth="1"/>
    <col min="264" max="264" width="18" style="3" customWidth="1"/>
    <col min="265" max="265" width="20.453125" style="3" customWidth="1"/>
    <col min="26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1062.6299999999997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-3571.08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B10" s="18"/>
      <c r="C10" s="3">
        <v>22.160000000000007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-2502.75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B11" s="18"/>
      <c r="C11" s="3">
        <v>114.13000000000001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3">
        <v>-107.31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22">
        <v>2192.9900000000011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-14002.71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B13" s="18"/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B14" s="18"/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C17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 s="22">
        <v>9.9999999999999992E-2</v>
      </c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3">
        <v>-21.9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22">
        <v>3.7999999999999994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-605.44000000000005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B21" s="18"/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22">
        <v>152.92000000000002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-170.11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4"/>
      <c r="AA23" s="16">
        <v>-23.76</v>
      </c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>
        <v>-52.54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/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C33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3.25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83.01</v>
      </c>
      <c r="R34" s="28"/>
      <c r="S34" s="28">
        <v>4037.91</v>
      </c>
      <c r="T34" s="28"/>
      <c r="U34" s="28"/>
      <c r="V34" s="28"/>
      <c r="W34" s="28"/>
      <c r="X34" s="28"/>
      <c r="Y34" s="28"/>
      <c r="Z34" s="28"/>
      <c r="AA34" s="29">
        <v>-5725.23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3548.7300000000009</v>
      </c>
      <c r="D68" s="38">
        <f>SUM(D7:D67)</f>
        <v>0</v>
      </c>
      <c r="E68" s="38">
        <f>SUM(E7:E67)</f>
        <v>3.25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83.01</v>
      </c>
      <c r="R68" s="38">
        <f t="shared" si="0"/>
        <v>0</v>
      </c>
      <c r="S68" s="38">
        <f t="shared" si="0"/>
        <v>4037.91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-26782.829999999998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3548.7300000000009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-21057.599999999999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>B34+B35</f>
        <v>0</v>
      </c>
      <c r="C70" s="46">
        <f t="shared" ref="C70:D70" si="2">C34+C35</f>
        <v>0</v>
      </c>
      <c r="D70" s="46">
        <f t="shared" si="2"/>
        <v>0</v>
      </c>
      <c r="E70" s="46">
        <f>E34+E35</f>
        <v>3.25</v>
      </c>
      <c r="F70" s="46">
        <f>F34+F35</f>
        <v>0</v>
      </c>
      <c r="G70" s="46">
        <f>G34+G35</f>
        <v>0</v>
      </c>
      <c r="H70" s="46">
        <f>H34+H35</f>
        <v>0</v>
      </c>
      <c r="I70" s="46">
        <f t="shared" ref="I70:AK70" si="3">I34+I35</f>
        <v>0</v>
      </c>
      <c r="J70" s="46">
        <f t="shared" si="3"/>
        <v>0</v>
      </c>
      <c r="K70" s="46">
        <f t="shared" si="3"/>
        <v>0</v>
      </c>
      <c r="L70" s="46">
        <f t="shared" si="3"/>
        <v>0</v>
      </c>
      <c r="M70" s="46">
        <f t="shared" si="3"/>
        <v>0</v>
      </c>
      <c r="N70" s="46">
        <f t="shared" si="3"/>
        <v>0</v>
      </c>
      <c r="O70" s="46">
        <f t="shared" si="3"/>
        <v>0</v>
      </c>
      <c r="P70" s="46">
        <f t="shared" si="3"/>
        <v>0</v>
      </c>
      <c r="Q70" s="46">
        <f t="shared" si="3"/>
        <v>83.01</v>
      </c>
      <c r="R70" s="46">
        <f t="shared" si="3"/>
        <v>0</v>
      </c>
      <c r="S70" s="46">
        <f t="shared" si="3"/>
        <v>4037.91</v>
      </c>
      <c r="T70" s="46">
        <f t="shared" si="3"/>
        <v>0</v>
      </c>
      <c r="U70" s="46">
        <f t="shared" si="3"/>
        <v>0</v>
      </c>
      <c r="V70" s="46">
        <f t="shared" si="3"/>
        <v>0</v>
      </c>
      <c r="W70" s="46">
        <f t="shared" si="3"/>
        <v>0</v>
      </c>
      <c r="X70" s="46">
        <f t="shared" si="3"/>
        <v>0</v>
      </c>
      <c r="Y70" s="46">
        <f t="shared" si="3"/>
        <v>0</v>
      </c>
      <c r="Z70" s="46">
        <f t="shared" si="3"/>
        <v>0</v>
      </c>
      <c r="AA70" s="47">
        <f t="shared" si="3"/>
        <v>-5725.23</v>
      </c>
      <c r="AB70" s="47">
        <f t="shared" si="3"/>
        <v>0</v>
      </c>
      <c r="AC70" s="47">
        <f t="shared" si="3"/>
        <v>0</v>
      </c>
      <c r="AD70" s="47">
        <f t="shared" si="3"/>
        <v>0</v>
      </c>
      <c r="AE70" s="47">
        <f t="shared" si="3"/>
        <v>0</v>
      </c>
      <c r="AF70" s="47">
        <f t="shared" si="3"/>
        <v>0</v>
      </c>
      <c r="AG70" s="47">
        <f t="shared" si="3"/>
        <v>0</v>
      </c>
      <c r="AH70" s="47">
        <f t="shared" si="3"/>
        <v>0</v>
      </c>
      <c r="AI70" s="47">
        <f t="shared" si="3"/>
        <v>0</v>
      </c>
      <c r="AJ70" s="47">
        <f t="shared" si="3"/>
        <v>0</v>
      </c>
      <c r="AK70" s="48">
        <f t="shared" si="3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4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4"/>
        <v>0</v>
      </c>
      <c r="J71" s="46">
        <f t="shared" si="4"/>
        <v>0</v>
      </c>
      <c r="K71" s="46">
        <f t="shared" si="4"/>
        <v>0</v>
      </c>
      <c r="L71" s="46">
        <f t="shared" si="4"/>
        <v>0</v>
      </c>
      <c r="M71" s="46">
        <f t="shared" si="4"/>
        <v>0</v>
      </c>
      <c r="N71" s="46">
        <f t="shared" si="4"/>
        <v>0</v>
      </c>
      <c r="O71" s="46">
        <f t="shared" si="4"/>
        <v>0</v>
      </c>
      <c r="P71" s="46">
        <f t="shared" si="4"/>
        <v>0</v>
      </c>
      <c r="Q71" s="46">
        <f t="shared" si="4"/>
        <v>0</v>
      </c>
      <c r="R71" s="46">
        <f t="shared" si="4"/>
        <v>0</v>
      </c>
      <c r="S71" s="46">
        <f t="shared" si="4"/>
        <v>0</v>
      </c>
      <c r="T71" s="46">
        <f t="shared" si="4"/>
        <v>0</v>
      </c>
      <c r="U71" s="46">
        <f t="shared" si="4"/>
        <v>0</v>
      </c>
      <c r="V71" s="46">
        <f t="shared" si="4"/>
        <v>0</v>
      </c>
      <c r="W71" s="46">
        <f t="shared" si="4"/>
        <v>0</v>
      </c>
      <c r="X71" s="46">
        <f t="shared" si="4"/>
        <v>0</v>
      </c>
      <c r="Y71" s="46">
        <f t="shared" si="4"/>
        <v>0</v>
      </c>
      <c r="Z71" s="46">
        <f t="shared" si="4"/>
        <v>0</v>
      </c>
      <c r="AA71" s="47">
        <f t="shared" si="4"/>
        <v>0</v>
      </c>
      <c r="AB71" s="47">
        <f t="shared" si="4"/>
        <v>0</v>
      </c>
      <c r="AC71" s="47">
        <f t="shared" si="4"/>
        <v>0</v>
      </c>
      <c r="AD71" s="47">
        <f t="shared" si="4"/>
        <v>0</v>
      </c>
      <c r="AE71" s="47">
        <f t="shared" si="4"/>
        <v>0</v>
      </c>
      <c r="AF71" s="47">
        <f t="shared" si="4"/>
        <v>0</v>
      </c>
      <c r="AG71" s="47">
        <f t="shared" si="4"/>
        <v>0</v>
      </c>
      <c r="AH71" s="47">
        <f t="shared" si="4"/>
        <v>0</v>
      </c>
      <c r="AI71" s="47">
        <f t="shared" si="4"/>
        <v>0</v>
      </c>
      <c r="AJ71" s="47">
        <f t="shared" si="4"/>
        <v>0</v>
      </c>
      <c r="AK71" s="48">
        <f t="shared" si="4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7672.9000000000015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7672.9000000000015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-26782.829999999998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-26782.829999999998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-19109.929999999997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-19109.929999999997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4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2026-07-27T16:40:03Z</dcterms:created>
  <dcterms:modified xsi:type="dcterms:W3CDTF">2026-07-27T16:40:18Z</dcterms:modified>
</cp:coreProperties>
</file>