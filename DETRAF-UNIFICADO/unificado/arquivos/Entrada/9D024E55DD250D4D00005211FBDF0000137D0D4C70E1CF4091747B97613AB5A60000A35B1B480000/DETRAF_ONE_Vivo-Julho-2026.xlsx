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W:\#DETRAF_OFICIAL\#2026_DETRAF\07 - Junho\EOT 050_Vivo\"/>
    </mc:Choice>
  </mc:AlternateContent>
  <xr:revisionPtr revIDLastSave="0" documentId="8_{764849F6-A02D-457E-8ABE-599D204EDA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ivo" sheetId="1" r:id="rId1"/>
  </sheets>
  <definedNames>
    <definedName name="_xlnm._FilterDatabase" localSheetId="0" hidden="1">Vivo!$A$1:$O$6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O2" i="1" s="1"/>
  <c r="M2" i="1" s="1"/>
  <c r="L5" i="1"/>
  <c r="O5" i="1" s="1"/>
  <c r="M5" i="1" s="1"/>
  <c r="L3" i="1" l="1"/>
  <c r="O3" i="1" s="1"/>
  <c r="M3" i="1" s="1"/>
  <c r="L4" i="1"/>
  <c r="O4" i="1" s="1"/>
  <c r="M4" i="1" s="1"/>
  <c r="O6" i="1" l="1"/>
</calcChain>
</file>

<file path=xl/sharedStrings.xml><?xml version="1.0" encoding="utf-8"?>
<sst xmlns="http://schemas.openxmlformats.org/spreadsheetml/2006/main" count="28" uniqueCount="20">
  <si>
    <t>EOT Credora</t>
  </si>
  <si>
    <t>EOT Devedora</t>
  </si>
  <si>
    <t>Referência</t>
  </si>
  <si>
    <t>Período Tráfego</t>
  </si>
  <si>
    <t>POI</t>
  </si>
  <si>
    <t>Tipo Rel.</t>
  </si>
  <si>
    <t>Descritor</t>
  </si>
  <si>
    <t>Grupo Horário</t>
  </si>
  <si>
    <t>Chamadas</t>
  </si>
  <si>
    <t>Minutos</t>
  </si>
  <si>
    <t>Tarifa</t>
  </si>
  <si>
    <t>Valor Líquido</t>
  </si>
  <si>
    <t>Pis/Cofins</t>
  </si>
  <si>
    <t>ICMS</t>
  </si>
  <si>
    <t>Valor Bruto</t>
  </si>
  <si>
    <t>BRG.PAE.01</t>
  </si>
  <si>
    <t xml:space="preserve"> LENL</t>
  </si>
  <si>
    <t>N</t>
  </si>
  <si>
    <t>R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</si>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</sst>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&quot;R$ &quot;* #,##0.00_-;&quot;-R$ &quot;* #,##0.00_-;_-&quot;R$ &quot;* \-??_-;_-@_-"/>
    <numFmt numFmtId="166" formatCode="#,##0.00000"/>
  </numFmts>
  <fonts count="5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4" fillId="0" borderId="0" applyBorder="0" applyProtection="0"/>
    <xf numFmtId="165" fontId="4" fillId="0" borderId="0" applyBorder="0" applyProtection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0" xfId="3" applyFont="1"/>
    <xf numFmtId="165" fontId="1" fillId="0" borderId="0" xfId="2" applyFont="1" applyBorder="1" applyProtection="1"/>
    <xf numFmtId="3" fontId="1" fillId="0" borderId="0" xfId="1" applyNumberFormat="1" applyFont="1" applyBorder="1" applyProtection="1"/>
    <xf numFmtId="4" fontId="1" fillId="0" borderId="0" xfId="1" applyNumberFormat="1" applyFont="1" applyBorder="1" applyProtection="1"/>
    <xf numFmtId="166" fontId="1" fillId="0" borderId="0" xfId="2" applyNumberFormat="1" applyFont="1" applyBorder="1" applyProtection="1"/>
    <xf numFmtId="165" fontId="1" fillId="0" borderId="0" xfId="0" applyNumberFormat="1" applyFont="1"/>
  </cellXfs>
  <cellStyles count="4">
    <cellStyle name="Moeda" xfId="2" builtinId="4"/>
    <cellStyle name="Normal" xfId="0" builtinId="0"/>
    <cellStyle name="Texto Explicativo" xfId="3" builtinId="5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Z6"/>
  <sheetViews>
    <sheetView tabSelected="1" zoomScale="80" zoomScaleNormal="80" workbookViewId="0">
      <selection activeCell="P7" sqref="P7"/>
    </sheetView>
  </sheetViews>
  <sheetFormatPr defaultColWidth="9" defaultRowHeight="14.4" x14ac:dyDescent="0.3"/>
  <cols>
    <col min="1" max="1" width="16" style="1" bestFit="1" customWidth="1"/>
    <col min="2" max="2" width="17.5546875" style="1" bestFit="1" customWidth="1"/>
    <col min="3" max="3" width="13.44140625" style="1" bestFit="1" customWidth="1"/>
    <col min="4" max="4" width="18.6640625" style="1" bestFit="1" customWidth="1"/>
    <col min="5" max="5" width="13.44140625" style="1" bestFit="1" customWidth="1"/>
    <col min="6" max="6" width="11.6640625" style="1" bestFit="1" customWidth="1"/>
    <col min="7" max="7" width="11.88671875" style="1" bestFit="1" customWidth="1"/>
    <col min="8" max="8" width="16.6640625" style="1" bestFit="1" customWidth="1"/>
    <col min="9" max="9" width="13.5546875" style="1" bestFit="1" customWidth="1"/>
    <col min="10" max="10" width="12.33203125" style="1" bestFit="1" customWidth="1"/>
    <col min="11" max="11" width="10" style="1" bestFit="1" customWidth="1"/>
    <col min="12" max="12" width="17" style="1" bestFit="1" customWidth="1"/>
    <col min="13" max="13" width="14.33203125" style="1" bestFit="1" customWidth="1"/>
    <col min="14" max="14" width="10.44140625" style="1" bestFit="1" customWidth="1"/>
    <col min="15" max="15" width="15" style="1" bestFit="1" customWidth="1"/>
    <col min="16" max="936" width="8.5546875" style="1" customWidth="1"/>
    <col min="937" max="940" width="8.5546875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>
        <v>121</v>
      </c>
      <c r="B2" s="2">
        <v>50</v>
      </c>
      <c r="C2" s="2">
        <v>202607</v>
      </c>
      <c r="D2" s="2">
        <v>202607</v>
      </c>
      <c r="E2" s="2" t="s">
        <v>15</v>
      </c>
      <c r="F2" s="2">
        <v>0</v>
      </c>
      <c r="G2" s="2" t="s">
        <v>16</v>
      </c>
      <c r="H2" s="2" t="s">
        <v>18</v>
      </c>
      <c r="I2" s="4">
        <v>12786</v>
      </c>
      <c r="J2" s="5">
        <v>17793.05</v>
      </c>
      <c r="K2" s="6">
        <v>4.2500000000000003E-3</v>
      </c>
      <c r="L2" s="3">
        <f>J2*K2</f>
        <v>75.620462500000002</v>
      </c>
      <c r="M2" s="3">
        <f>O2*0.0365</f>
        <v>2.8647087506486764</v>
      </c>
      <c r="N2" s="3">
        <v>0</v>
      </c>
      <c r="O2" s="3">
        <f>L2*(1/(1-0.0365))</f>
        <v>78.485171250648676</v>
      </c>
    </row>
    <row r="3" spans="1:15" x14ac:dyDescent="0.3">
      <c r="A3" s="2">
        <v>121</v>
      </c>
      <c r="B3" s="2">
        <v>50</v>
      </c>
      <c r="C3" s="2">
        <v>202607</v>
      </c>
      <c r="D3" s="2">
        <v>202607</v>
      </c>
      <c r="E3" s="2" t="s">
        <v>15</v>
      </c>
      <c r="F3" s="2">
        <v>0</v>
      </c>
      <c r="G3" s="2" t="s">
        <v>16</v>
      </c>
      <c r="H3" s="2" t="s">
        <v>18</v>
      </c>
      <c r="I3" s="4">
        <v>24260</v>
      </c>
      <c r="J3" s="5">
        <v>30262.639999999999</v>
      </c>
      <c r="K3" s="6">
        <v>4.2500000000000003E-3</v>
      </c>
      <c r="L3" s="3">
        <f>J3*K3</f>
        <v>128.61622</v>
      </c>
      <c r="M3" s="3">
        <f>O3*0.0365</f>
        <v>4.8723321536066422</v>
      </c>
      <c r="N3" s="3">
        <v>0</v>
      </c>
      <c r="O3" s="3">
        <f>L3*(1/(1-0.0365))</f>
        <v>133.48855215360663</v>
      </c>
    </row>
    <row r="4" spans="1:15" x14ac:dyDescent="0.3">
      <c r="A4" s="2">
        <v>121</v>
      </c>
      <c r="B4" s="2">
        <v>50</v>
      </c>
      <c r="C4" s="2">
        <v>202607</v>
      </c>
      <c r="D4" s="2">
        <v>202607</v>
      </c>
      <c r="E4" s="2" t="s">
        <v>15</v>
      </c>
      <c r="F4" s="2">
        <v>0</v>
      </c>
      <c r="G4" s="2" t="s">
        <v>16</v>
      </c>
      <c r="H4" s="2" t="s">
        <v>17</v>
      </c>
      <c r="I4" s="4">
        <v>49027</v>
      </c>
      <c r="J4" s="5">
        <v>68580.710000000006</v>
      </c>
      <c r="K4" s="6">
        <v>6.0800000000000003E-3</v>
      </c>
      <c r="L4" s="3">
        <f>J4*K4</f>
        <v>416.97071680000005</v>
      </c>
      <c r="M4" s="3">
        <f>O4*0.0365</f>
        <v>15.795984601141672</v>
      </c>
      <c r="N4" s="3">
        <v>0</v>
      </c>
      <c r="O4" s="3">
        <f>L4*(1/(1-0.0365))</f>
        <v>432.76670140114175</v>
      </c>
    </row>
    <row r="5" spans="1:15" x14ac:dyDescent="0.3">
      <c r="A5" s="2">
        <v>121</v>
      </c>
      <c r="B5" s="2">
        <v>50</v>
      </c>
      <c r="C5" s="2">
        <v>202607</v>
      </c>
      <c r="D5" s="2">
        <v>202607</v>
      </c>
      <c r="E5" s="2" t="s">
        <v>15</v>
      </c>
      <c r="F5" s="2">
        <v>0</v>
      </c>
      <c r="G5" s="2" t="s">
        <v>16</v>
      </c>
      <c r="H5" s="2" t="s">
        <v>17</v>
      </c>
      <c r="I5" s="4">
        <v>166406</v>
      </c>
      <c r="J5" s="5">
        <v>297436.21000000002</v>
      </c>
      <c r="K5" s="6">
        <v>6.0800000000000003E-3</v>
      </c>
      <c r="L5" s="3">
        <f>J5*K5</f>
        <v>1808.4121568000003</v>
      </c>
      <c r="M5" s="3">
        <f>O5*0.0365</f>
        <v>68.507570029268308</v>
      </c>
      <c r="N5" s="3">
        <v>0</v>
      </c>
      <c r="O5" s="3">
        <f>L5*(1/(1-0.0365))</f>
        <v>1876.9197268292687</v>
      </c>
    </row>
    <row r="6" spans="1:15" x14ac:dyDescent="0.3">
      <c r="I6" s="4"/>
      <c r="J6" s="5"/>
      <c r="N6" s="1" t="s">
        <v>19</v>
      </c>
      <c r="O6" s="7">
        <f>SUM(O2:O5)</f>
        <v>2521.6601516346659</v>
      </c>
    </row>
  </sheetData>
  <autoFilter ref="A1:O6" xr:uid="{00000000-0009-0000-0000-000000000000}">
    <sortState xmlns:xlrd2="http://schemas.microsoft.com/office/spreadsheetml/2017/richdata2" ref="A2:O6">
      <sortCondition ref="E1:E6"/>
    </sortState>
  </autoFilter>
  <pageMargins left="0.51180555555555496" right="0.51180555555555496" top="0.78749999999999998" bottom="0.78749999999999998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Clara Von Hohendorff</cp:lastModifiedBy>
  <cp:revision>14</cp:revision>
  <cp:lastPrinted>2016-10-10T20:07:00Z</cp:lastPrinted>
  <dcterms:created xsi:type="dcterms:W3CDTF">2014-07-03T20:34:00Z</dcterms:created>
  <dcterms:modified xsi:type="dcterms:W3CDTF">2026-08-07T18:36:03Z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8570CE404BF844BAA545407531120B7D</vt:lpwstr>
  </property>
  <property fmtid="{D5CDD505-2E9C-101B-9397-08002B2CF9AE}" pid="9" name="KSOProductBuildVer">
    <vt:lpwstr>1046-12.2.0.16731</vt:lpwstr>
  </property>
</Properties>
</file>