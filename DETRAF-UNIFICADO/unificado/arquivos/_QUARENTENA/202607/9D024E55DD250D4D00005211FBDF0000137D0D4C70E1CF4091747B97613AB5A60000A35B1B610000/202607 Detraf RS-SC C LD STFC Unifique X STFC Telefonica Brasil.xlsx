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ritat.sharepoint.com/sites/DETRAFUnifique/Documentos Compartilhados/detraf completo/01 DETRAF- STFC UNIFIQUE/2026 07/STFC TBRA/"/>
    </mc:Choice>
  </mc:AlternateContent>
  <xr:revisionPtr revIDLastSave="19" documentId="8_{1DD38D98-1C7C-4300-AA2B-5E4163281B1E}" xr6:coauthVersionLast="47" xr6:coauthVersionMax="47" xr10:uidLastSave="{60F8F818-82F8-4CE4-BCCD-14F39EF9B36A}"/>
  <bookViews>
    <workbookView xWindow="-108" yWindow="-108" windowWidth="23256" windowHeight="12456" xr2:uid="{1644EB79-7ADC-441D-BC7B-36F7B57E41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6" i="1" l="1"/>
  <c r="N46" i="1"/>
  <c r="M46" i="1"/>
  <c r="L46" i="1"/>
  <c r="J46" i="1"/>
  <c r="I46" i="1"/>
  <c r="O13" i="1"/>
  <c r="N13" i="1"/>
  <c r="M13" i="1"/>
  <c r="L13" i="1"/>
  <c r="J13" i="1"/>
  <c r="I13" i="1"/>
  <c r="O44" i="1"/>
  <c r="N44" i="1"/>
  <c r="M44" i="1"/>
  <c r="L44" i="1"/>
  <c r="J44" i="1"/>
  <c r="I44" i="1"/>
</calcChain>
</file>

<file path=xl/sharedStrings.xml><?xml version="1.0" encoding="utf-8"?>
<sst xmlns="http://schemas.openxmlformats.org/spreadsheetml/2006/main" count="139" uniqueCount="34">
  <si>
    <t>eotcredora</t>
  </si>
  <si>
    <t>eotdevedora</t>
  </si>
  <si>
    <t>mes_ref</t>
  </si>
  <si>
    <t>per_trafego</t>
  </si>
  <si>
    <t>poippi</t>
  </si>
  <si>
    <t>tipotrafego</t>
  </si>
  <si>
    <t>descritor</t>
  </si>
  <si>
    <t>gh</t>
  </si>
  <si>
    <t>chamadas</t>
  </si>
  <si>
    <t>minutos</t>
  </si>
  <si>
    <t>tarifa</t>
  </si>
  <si>
    <t>valor_liquido</t>
  </si>
  <si>
    <t>pis_cofins</t>
  </si>
  <si>
    <t>icms</t>
  </si>
  <si>
    <t>valor_bruto</t>
  </si>
  <si>
    <t>I61</t>
  </si>
  <si>
    <t>TLF_C51_LS</t>
  </si>
  <si>
    <t>GS8L</t>
  </si>
  <si>
    <t>N</t>
  </si>
  <si>
    <t>TLF_C54_LS</t>
  </si>
  <si>
    <t>TLF_C55_LS</t>
  </si>
  <si>
    <t>R</t>
  </si>
  <si>
    <t>TLF_47_1LS</t>
  </si>
  <si>
    <t>TLF_48_1LS</t>
  </si>
  <si>
    <t>TLF_49_1LS</t>
  </si>
  <si>
    <t>BRT_BNU1LE</t>
  </si>
  <si>
    <t>NENL</t>
  </si>
  <si>
    <t>BRT_FNS1LE</t>
  </si>
  <si>
    <t>BRT_LGS1LE</t>
  </si>
  <si>
    <t>TLF_47_2DE</t>
  </si>
  <si>
    <t>TLF_47_4VE</t>
  </si>
  <si>
    <t>TLF_48_2DE</t>
  </si>
  <si>
    <t>TLF_49_2DE</t>
  </si>
  <si>
    <t>TLF_49_4VE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</si>
</sst>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#,##0.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80"/>
      <name val="Arial"/>
      <family val="2"/>
    </font>
    <font>
      <b/>
      <sz val="11"/>
      <color rgb="FF000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3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4" fontId="3" fillId="0" borderId="0" xfId="1" applyNumberFormat="1" applyFont="1"/>
    <xf numFmtId="0" fontId="2" fillId="0" borderId="0" xfId="0" applyFont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9206-DA84-45B2-955E-C1DD94657889}">
  <dimension ref="A1:AF46"/>
  <sheetViews>
    <sheetView tabSelected="1" workbookViewId="0"/>
  </sheetViews>
  <sheetFormatPr defaultRowHeight="14.4" x14ac:dyDescent="0.3"/>
  <cols>
    <col min="1" max="1" width="12.109375" style="1" bestFit="1" customWidth="1"/>
    <col min="2" max="2" width="14.109375" style="1" bestFit="1" customWidth="1"/>
    <col min="3" max="3" width="9.109375" style="1"/>
    <col min="4" max="4" width="12.88671875" style="1" bestFit="1" customWidth="1"/>
    <col min="5" max="5" width="13.5546875" style="1" bestFit="1" customWidth="1"/>
    <col min="6" max="6" width="12.109375" style="1" bestFit="1" customWidth="1"/>
    <col min="7" max="7" width="10.109375" style="1" bestFit="1" customWidth="1"/>
    <col min="8" max="8" width="3.5546875" style="1" bestFit="1" customWidth="1"/>
    <col min="9" max="9" width="11" style="2" bestFit="1" customWidth="1"/>
    <col min="10" max="10" width="9.88671875" style="3" bestFit="1" customWidth="1"/>
    <col min="11" max="11" width="8.44140625" style="4" bestFit="1" customWidth="1"/>
    <col min="12" max="12" width="14.33203125" style="5" bestFit="1" customWidth="1"/>
    <col min="13" max="13" width="11.33203125" style="5" bestFit="1" customWidth="1"/>
    <col min="14" max="14" width="5.5546875" style="5" bestFit="1" customWidth="1"/>
    <col min="15" max="15" width="12.6640625" style="5" bestFit="1" customWidth="1"/>
    <col min="16" max="32" width="9.109375" style="1"/>
  </cols>
  <sheetData>
    <row r="1" spans="1:3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3">
      <c r="A2" s="11" t="s">
        <v>15</v>
      </c>
      <c r="B2" s="1">
        <v>951</v>
      </c>
      <c r="C2" s="1">
        <v>202607</v>
      </c>
      <c r="D2" s="1">
        <v>202606</v>
      </c>
      <c r="E2" s="1" t="s">
        <v>16</v>
      </c>
      <c r="F2" s="1">
        <v>0</v>
      </c>
      <c r="G2" s="1" t="s">
        <v>17</v>
      </c>
      <c r="H2" s="1" t="s">
        <v>18</v>
      </c>
      <c r="I2" s="2">
        <v>183</v>
      </c>
      <c r="J2" s="3">
        <v>1013.4999999999999</v>
      </c>
      <c r="K2" s="4">
        <v>6.0800000000000003E-3</v>
      </c>
      <c r="L2" s="5">
        <v>6.16</v>
      </c>
      <c r="M2" s="5">
        <v>0.24</v>
      </c>
      <c r="N2" s="5">
        <v>0</v>
      </c>
      <c r="O2" s="5">
        <v>6.4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x14ac:dyDescent="0.3">
      <c r="A3" s="11" t="s">
        <v>15</v>
      </c>
      <c r="B3" s="1">
        <v>951</v>
      </c>
      <c r="C3" s="1">
        <v>202607</v>
      </c>
      <c r="D3" s="1">
        <v>202606</v>
      </c>
      <c r="E3" s="1" t="s">
        <v>19</v>
      </c>
      <c r="F3" s="1">
        <v>0</v>
      </c>
      <c r="G3" s="1" t="s">
        <v>17</v>
      </c>
      <c r="H3" s="1" t="s">
        <v>18</v>
      </c>
      <c r="I3" s="2">
        <v>21</v>
      </c>
      <c r="J3" s="3">
        <v>150.39999999999998</v>
      </c>
      <c r="K3" s="4">
        <v>6.0800000000000003E-3</v>
      </c>
      <c r="L3" s="5">
        <v>0.91</v>
      </c>
      <c r="M3" s="5">
        <v>0.04</v>
      </c>
      <c r="N3" s="5">
        <v>0</v>
      </c>
      <c r="O3" s="5">
        <v>0.95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3">
      <c r="A4" s="11" t="s">
        <v>15</v>
      </c>
      <c r="B4" s="1">
        <v>951</v>
      </c>
      <c r="C4" s="1">
        <v>202607</v>
      </c>
      <c r="D4" s="1">
        <v>202606</v>
      </c>
      <c r="E4" s="1" t="s">
        <v>20</v>
      </c>
      <c r="F4" s="1">
        <v>0</v>
      </c>
      <c r="G4" s="1" t="s">
        <v>17</v>
      </c>
      <c r="H4" s="1" t="s">
        <v>18</v>
      </c>
      <c r="I4" s="2">
        <v>20</v>
      </c>
      <c r="J4" s="3">
        <v>148.69999999999999</v>
      </c>
      <c r="K4" s="4">
        <v>6.0800000000000003E-3</v>
      </c>
      <c r="L4" s="5">
        <v>0.9</v>
      </c>
      <c r="M4" s="5">
        <v>0.04</v>
      </c>
      <c r="N4" s="5">
        <v>0</v>
      </c>
      <c r="O4" s="5">
        <v>0.94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x14ac:dyDescent="0.3">
      <c r="A5" s="11" t="s">
        <v>15</v>
      </c>
      <c r="B5" s="1">
        <v>951</v>
      </c>
      <c r="C5" s="1">
        <v>202607</v>
      </c>
      <c r="D5" s="1">
        <v>202606</v>
      </c>
      <c r="E5" s="1" t="s">
        <v>16</v>
      </c>
      <c r="F5" s="1">
        <v>0</v>
      </c>
      <c r="G5" s="1" t="s">
        <v>17</v>
      </c>
      <c r="H5" s="1" t="s">
        <v>21</v>
      </c>
      <c r="I5" s="2">
        <v>1</v>
      </c>
      <c r="J5" s="3">
        <v>3.3</v>
      </c>
      <c r="K5" s="4">
        <v>4.2500000000000003E-3</v>
      </c>
      <c r="L5" s="5">
        <v>0.01</v>
      </c>
      <c r="M5" s="5">
        <v>0</v>
      </c>
      <c r="N5" s="5">
        <v>0</v>
      </c>
      <c r="O5" s="5">
        <v>0.01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x14ac:dyDescent="0.3">
      <c r="A6" s="11" t="s">
        <v>15</v>
      </c>
      <c r="B6" s="1">
        <v>951</v>
      </c>
      <c r="C6" s="1">
        <v>202607</v>
      </c>
      <c r="D6" s="1">
        <v>202606</v>
      </c>
      <c r="E6" s="1" t="s">
        <v>20</v>
      </c>
      <c r="F6" s="1">
        <v>0</v>
      </c>
      <c r="G6" s="1" t="s">
        <v>17</v>
      </c>
      <c r="H6" s="1" t="s">
        <v>21</v>
      </c>
      <c r="I6" s="2">
        <v>2</v>
      </c>
      <c r="J6" s="3">
        <v>1.8</v>
      </c>
      <c r="K6" s="4">
        <v>4.2500000000000003E-3</v>
      </c>
      <c r="L6" s="5">
        <v>0.01</v>
      </c>
      <c r="M6" s="5">
        <v>0</v>
      </c>
      <c r="N6" s="5">
        <v>0</v>
      </c>
      <c r="O6" s="5">
        <v>0.01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x14ac:dyDescent="0.3">
      <c r="A7" s="11" t="s">
        <v>15</v>
      </c>
      <c r="B7" s="1">
        <v>951</v>
      </c>
      <c r="C7" s="1">
        <v>202607</v>
      </c>
      <c r="D7" s="1">
        <v>202607</v>
      </c>
      <c r="E7" s="1" t="s">
        <v>16</v>
      </c>
      <c r="F7" s="1">
        <v>0</v>
      </c>
      <c r="G7" s="1" t="s">
        <v>17</v>
      </c>
      <c r="H7" s="1" t="s">
        <v>18</v>
      </c>
      <c r="I7" s="2">
        <v>194</v>
      </c>
      <c r="J7" s="3">
        <v>960.80000000000007</v>
      </c>
      <c r="K7" s="4">
        <v>6.0800000000000003E-3</v>
      </c>
      <c r="L7" s="5">
        <v>5.84</v>
      </c>
      <c r="M7" s="5">
        <v>0.22</v>
      </c>
      <c r="N7" s="5">
        <v>0</v>
      </c>
      <c r="O7" s="5">
        <v>6.06</v>
      </c>
    </row>
    <row r="8" spans="1:32" x14ac:dyDescent="0.3">
      <c r="A8" s="11" t="s">
        <v>15</v>
      </c>
      <c r="B8" s="1">
        <v>951</v>
      </c>
      <c r="C8" s="1">
        <v>202607</v>
      </c>
      <c r="D8" s="1">
        <v>202607</v>
      </c>
      <c r="E8" s="1" t="s">
        <v>19</v>
      </c>
      <c r="F8" s="1">
        <v>0</v>
      </c>
      <c r="G8" s="1" t="s">
        <v>17</v>
      </c>
      <c r="H8" s="1" t="s">
        <v>18</v>
      </c>
      <c r="I8" s="2">
        <v>39</v>
      </c>
      <c r="J8" s="3">
        <v>300.90000000000003</v>
      </c>
      <c r="K8" s="4">
        <v>6.0800000000000003E-3</v>
      </c>
      <c r="L8" s="5">
        <v>1.83</v>
      </c>
      <c r="M8" s="5">
        <v>7.0000000000000007E-2</v>
      </c>
      <c r="N8" s="5">
        <v>0</v>
      </c>
      <c r="O8" s="5">
        <v>1.9</v>
      </c>
    </row>
    <row r="9" spans="1:32" x14ac:dyDescent="0.3">
      <c r="A9" s="11" t="s">
        <v>15</v>
      </c>
      <c r="B9" s="1">
        <v>951</v>
      </c>
      <c r="C9" s="1">
        <v>202607</v>
      </c>
      <c r="D9" s="1">
        <v>202607</v>
      </c>
      <c r="E9" s="1" t="s">
        <v>20</v>
      </c>
      <c r="F9" s="1">
        <v>0</v>
      </c>
      <c r="G9" s="1" t="s">
        <v>17</v>
      </c>
      <c r="H9" s="1" t="s">
        <v>18</v>
      </c>
      <c r="I9" s="2">
        <v>21</v>
      </c>
      <c r="J9" s="3">
        <v>89</v>
      </c>
      <c r="K9" s="4">
        <v>6.0800000000000003E-3</v>
      </c>
      <c r="L9" s="5">
        <v>0.54</v>
      </c>
      <c r="M9" s="5">
        <v>0.02</v>
      </c>
      <c r="N9" s="5">
        <v>0</v>
      </c>
      <c r="O9" s="5">
        <v>0.56000000000000005</v>
      </c>
    </row>
    <row r="10" spans="1:32" x14ac:dyDescent="0.3">
      <c r="A10" s="11" t="s">
        <v>15</v>
      </c>
      <c r="B10" s="1">
        <v>951</v>
      </c>
      <c r="C10" s="1">
        <v>202607</v>
      </c>
      <c r="D10" s="1">
        <v>202607</v>
      </c>
      <c r="E10" s="1" t="s">
        <v>16</v>
      </c>
      <c r="F10" s="1">
        <v>0</v>
      </c>
      <c r="G10" s="1" t="s">
        <v>17</v>
      </c>
      <c r="H10" s="1" t="s">
        <v>21</v>
      </c>
      <c r="I10" s="2">
        <v>4</v>
      </c>
      <c r="J10" s="3">
        <v>9.8000000000000007</v>
      </c>
      <c r="K10" s="4">
        <v>4.2500000000000003E-3</v>
      </c>
      <c r="L10" s="5">
        <v>0.04</v>
      </c>
      <c r="M10" s="5">
        <v>0</v>
      </c>
      <c r="N10" s="5">
        <v>0</v>
      </c>
      <c r="O10" s="5">
        <v>0.04</v>
      </c>
    </row>
    <row r="11" spans="1:32" x14ac:dyDescent="0.3">
      <c r="A11" s="11" t="s">
        <v>15</v>
      </c>
      <c r="B11" s="1">
        <v>951</v>
      </c>
      <c r="C11" s="1">
        <v>202607</v>
      </c>
      <c r="D11" s="1">
        <v>202607</v>
      </c>
      <c r="E11" s="1" t="s">
        <v>19</v>
      </c>
      <c r="F11" s="1">
        <v>0</v>
      </c>
      <c r="G11" s="1" t="s">
        <v>17</v>
      </c>
      <c r="H11" s="1" t="s">
        <v>21</v>
      </c>
      <c r="I11" s="2">
        <v>1</v>
      </c>
      <c r="J11" s="3">
        <v>6.6</v>
      </c>
      <c r="K11" s="4">
        <v>4.2500000000000003E-3</v>
      </c>
      <c r="L11" s="5">
        <v>0.03</v>
      </c>
      <c r="M11" s="5">
        <v>0</v>
      </c>
      <c r="N11" s="5">
        <v>0</v>
      </c>
      <c r="O11" s="5">
        <v>0.03</v>
      </c>
    </row>
    <row r="13" spans="1:32" x14ac:dyDescent="0.3">
      <c r="F13" s="1">
        <v>1</v>
      </c>
      <c r="I13" s="2">
        <f>SUM(I2:I12)</f>
        <v>486</v>
      </c>
      <c r="J13" s="3">
        <f>SUM(J2:J12)</f>
        <v>2684.8</v>
      </c>
      <c r="L13" s="5">
        <f>SUM(L2:L12)</f>
        <v>16.27</v>
      </c>
      <c r="M13" s="5">
        <f t="shared" ref="M13:O13" si="0">SUM(M2:M12)</f>
        <v>0.62999999999999989</v>
      </c>
      <c r="N13" s="5">
        <f t="shared" si="0"/>
        <v>0</v>
      </c>
      <c r="O13" s="5">
        <f t="shared" si="0"/>
        <v>16.899999999999999</v>
      </c>
    </row>
    <row r="15" spans="1:32" x14ac:dyDescent="0.3">
      <c r="A15" s="1">
        <v>917</v>
      </c>
      <c r="B15" s="1">
        <v>200</v>
      </c>
      <c r="C15" s="1">
        <v>202607</v>
      </c>
      <c r="D15" s="1">
        <v>202607</v>
      </c>
      <c r="E15" s="1" t="s">
        <v>22</v>
      </c>
      <c r="F15" s="1">
        <v>0</v>
      </c>
      <c r="G15" s="1" t="s">
        <v>17</v>
      </c>
      <c r="H15" s="1" t="s">
        <v>18</v>
      </c>
      <c r="I15" s="2">
        <v>1596</v>
      </c>
      <c r="J15" s="3">
        <v>7294.9</v>
      </c>
      <c r="K15" s="4">
        <v>6.0800000000000003E-3</v>
      </c>
      <c r="L15" s="5">
        <v>44.35</v>
      </c>
      <c r="M15" s="5">
        <v>1.68</v>
      </c>
      <c r="N15" s="5">
        <v>0</v>
      </c>
      <c r="O15" s="5">
        <v>46.03</v>
      </c>
    </row>
    <row r="16" spans="1:32" x14ac:dyDescent="0.3">
      <c r="A16" s="1">
        <v>917</v>
      </c>
      <c r="B16" s="1">
        <v>200</v>
      </c>
      <c r="C16" s="1">
        <v>202607</v>
      </c>
      <c r="D16" s="1">
        <v>202607</v>
      </c>
      <c r="E16" s="1" t="s">
        <v>22</v>
      </c>
      <c r="F16" s="1">
        <v>0</v>
      </c>
      <c r="G16" s="1" t="s">
        <v>17</v>
      </c>
      <c r="H16" s="1" t="s">
        <v>18</v>
      </c>
      <c r="I16" s="2">
        <v>6921</v>
      </c>
      <c r="J16" s="3">
        <v>37338.400000000001</v>
      </c>
      <c r="K16" s="4">
        <v>6.0800000000000003E-3</v>
      </c>
      <c r="L16" s="5">
        <v>227.02</v>
      </c>
      <c r="M16" s="5">
        <v>8.6</v>
      </c>
      <c r="N16" s="5">
        <v>0</v>
      </c>
      <c r="O16" s="5">
        <v>235.62</v>
      </c>
    </row>
    <row r="17" spans="1:15" x14ac:dyDescent="0.3">
      <c r="A17" s="1">
        <v>917</v>
      </c>
      <c r="B17" s="1">
        <v>200</v>
      </c>
      <c r="C17" s="1">
        <v>202607</v>
      </c>
      <c r="D17" s="1">
        <v>202607</v>
      </c>
      <c r="E17" s="1" t="s">
        <v>23</v>
      </c>
      <c r="F17" s="1">
        <v>0</v>
      </c>
      <c r="G17" s="1" t="s">
        <v>17</v>
      </c>
      <c r="H17" s="1" t="s">
        <v>18</v>
      </c>
      <c r="I17" s="2">
        <v>156</v>
      </c>
      <c r="J17" s="3">
        <v>822.80000000000007</v>
      </c>
      <c r="K17" s="4">
        <v>6.0800000000000003E-3</v>
      </c>
      <c r="L17" s="5">
        <v>5</v>
      </c>
      <c r="M17" s="5">
        <v>0.19</v>
      </c>
      <c r="N17" s="5">
        <v>0</v>
      </c>
      <c r="O17" s="5">
        <v>5.19</v>
      </c>
    </row>
    <row r="18" spans="1:15" x14ac:dyDescent="0.3">
      <c r="A18" s="1">
        <v>917</v>
      </c>
      <c r="B18" s="1">
        <v>200</v>
      </c>
      <c r="C18" s="1">
        <v>202607</v>
      </c>
      <c r="D18" s="1">
        <v>202607</v>
      </c>
      <c r="E18" s="1" t="s">
        <v>23</v>
      </c>
      <c r="F18" s="1">
        <v>0</v>
      </c>
      <c r="G18" s="1" t="s">
        <v>17</v>
      </c>
      <c r="H18" s="1" t="s">
        <v>18</v>
      </c>
      <c r="I18" s="2">
        <v>564</v>
      </c>
      <c r="J18" s="3">
        <v>3289.4</v>
      </c>
      <c r="K18" s="4">
        <v>6.0800000000000003E-3</v>
      </c>
      <c r="L18" s="5">
        <v>20</v>
      </c>
      <c r="M18" s="5">
        <v>0.76</v>
      </c>
      <c r="N18" s="5">
        <v>0</v>
      </c>
      <c r="O18" s="5">
        <v>20.76</v>
      </c>
    </row>
    <row r="19" spans="1:15" x14ac:dyDescent="0.3">
      <c r="A19" s="1">
        <v>917</v>
      </c>
      <c r="B19" s="1">
        <v>200</v>
      </c>
      <c r="C19" s="1">
        <v>202607</v>
      </c>
      <c r="D19" s="1">
        <v>202607</v>
      </c>
      <c r="E19" s="1" t="s">
        <v>24</v>
      </c>
      <c r="F19" s="1">
        <v>0</v>
      </c>
      <c r="G19" s="1" t="s">
        <v>17</v>
      </c>
      <c r="H19" s="1" t="s">
        <v>18</v>
      </c>
      <c r="I19" s="2">
        <v>865</v>
      </c>
      <c r="J19" s="3">
        <v>5319.9999999999991</v>
      </c>
      <c r="K19" s="4">
        <v>6.0800000000000003E-3</v>
      </c>
      <c r="L19" s="5">
        <v>32.35</v>
      </c>
      <c r="M19" s="5">
        <v>1.22</v>
      </c>
      <c r="N19" s="5">
        <v>0</v>
      </c>
      <c r="O19" s="5">
        <v>33.57</v>
      </c>
    </row>
    <row r="20" spans="1:15" x14ac:dyDescent="0.3">
      <c r="A20" s="1">
        <v>917</v>
      </c>
      <c r="B20" s="1">
        <v>200</v>
      </c>
      <c r="C20" s="1">
        <v>202607</v>
      </c>
      <c r="D20" s="1">
        <v>202607</v>
      </c>
      <c r="E20" s="1" t="s">
        <v>24</v>
      </c>
      <c r="F20" s="1">
        <v>0</v>
      </c>
      <c r="G20" s="1" t="s">
        <v>17</v>
      </c>
      <c r="H20" s="1" t="s">
        <v>18</v>
      </c>
      <c r="I20" s="2">
        <v>419</v>
      </c>
      <c r="J20" s="3">
        <v>2114.2999999999997</v>
      </c>
      <c r="K20" s="4">
        <v>6.0800000000000003E-3</v>
      </c>
      <c r="L20" s="5">
        <v>12.85</v>
      </c>
      <c r="M20" s="5">
        <v>0.49</v>
      </c>
      <c r="N20" s="5">
        <v>0</v>
      </c>
      <c r="O20" s="5">
        <v>13.34</v>
      </c>
    </row>
    <row r="21" spans="1:15" x14ac:dyDescent="0.3">
      <c r="A21" s="1">
        <v>917</v>
      </c>
      <c r="B21" s="1">
        <v>200</v>
      </c>
      <c r="C21" s="1">
        <v>202607</v>
      </c>
      <c r="D21" s="1">
        <v>202607</v>
      </c>
      <c r="E21" s="1" t="s">
        <v>22</v>
      </c>
      <c r="F21" s="1">
        <v>0</v>
      </c>
      <c r="G21" s="1" t="s">
        <v>17</v>
      </c>
      <c r="H21" s="1" t="s">
        <v>21</v>
      </c>
      <c r="I21" s="2">
        <v>52</v>
      </c>
      <c r="J21" s="3">
        <v>166.29999999999998</v>
      </c>
      <c r="K21" s="4">
        <v>4.2500000000000003E-3</v>
      </c>
      <c r="L21" s="5">
        <v>0.71</v>
      </c>
      <c r="M21" s="5">
        <v>0.02</v>
      </c>
      <c r="N21" s="5">
        <v>0</v>
      </c>
      <c r="O21" s="5">
        <v>0.73</v>
      </c>
    </row>
    <row r="22" spans="1:15" x14ac:dyDescent="0.3">
      <c r="A22" s="1">
        <v>917</v>
      </c>
      <c r="B22" s="1">
        <v>200</v>
      </c>
      <c r="C22" s="1">
        <v>202607</v>
      </c>
      <c r="D22" s="1">
        <v>202607</v>
      </c>
      <c r="E22" s="1" t="s">
        <v>22</v>
      </c>
      <c r="F22" s="1">
        <v>0</v>
      </c>
      <c r="G22" s="1" t="s">
        <v>17</v>
      </c>
      <c r="H22" s="1" t="s">
        <v>21</v>
      </c>
      <c r="I22" s="2">
        <v>675</v>
      </c>
      <c r="J22" s="3">
        <v>787.70000000000016</v>
      </c>
      <c r="K22" s="4">
        <v>4.2500000000000003E-3</v>
      </c>
      <c r="L22" s="5">
        <v>3.35</v>
      </c>
      <c r="M22" s="5">
        <v>0.12</v>
      </c>
      <c r="N22" s="5">
        <v>0</v>
      </c>
      <c r="O22" s="5">
        <v>3.47</v>
      </c>
    </row>
    <row r="23" spans="1:15" x14ac:dyDescent="0.3">
      <c r="A23" s="1">
        <v>917</v>
      </c>
      <c r="B23" s="1">
        <v>200</v>
      </c>
      <c r="C23" s="1">
        <v>202607</v>
      </c>
      <c r="D23" s="1">
        <v>202607</v>
      </c>
      <c r="E23" s="1" t="s">
        <v>23</v>
      </c>
      <c r="F23" s="1">
        <v>0</v>
      </c>
      <c r="G23" s="1" t="s">
        <v>17</v>
      </c>
      <c r="H23" s="1" t="s">
        <v>21</v>
      </c>
      <c r="I23" s="2">
        <v>5</v>
      </c>
      <c r="J23" s="3">
        <v>41.5</v>
      </c>
      <c r="K23" s="4">
        <v>4.2500000000000003E-3</v>
      </c>
      <c r="L23" s="5">
        <v>0.18</v>
      </c>
      <c r="M23" s="5">
        <v>0</v>
      </c>
      <c r="N23" s="5">
        <v>0</v>
      </c>
      <c r="O23" s="5">
        <v>0.18</v>
      </c>
    </row>
    <row r="24" spans="1:15" x14ac:dyDescent="0.3">
      <c r="A24" s="1">
        <v>917</v>
      </c>
      <c r="B24" s="1">
        <v>200</v>
      </c>
      <c r="C24" s="1">
        <v>202607</v>
      </c>
      <c r="D24" s="1">
        <v>202607</v>
      </c>
      <c r="E24" s="1" t="s">
        <v>23</v>
      </c>
      <c r="F24" s="1">
        <v>0</v>
      </c>
      <c r="G24" s="1" t="s">
        <v>17</v>
      </c>
      <c r="H24" s="1" t="s">
        <v>21</v>
      </c>
      <c r="I24" s="2">
        <v>11</v>
      </c>
      <c r="J24" s="3">
        <v>21.4</v>
      </c>
      <c r="K24" s="4">
        <v>4.2500000000000003E-3</v>
      </c>
      <c r="L24" s="5">
        <v>0.09</v>
      </c>
      <c r="M24" s="5">
        <v>0</v>
      </c>
      <c r="N24" s="5">
        <v>0</v>
      </c>
      <c r="O24" s="5">
        <v>0.09</v>
      </c>
    </row>
    <row r="25" spans="1:15" x14ac:dyDescent="0.3">
      <c r="A25" s="1">
        <v>917</v>
      </c>
      <c r="B25" s="1">
        <v>200</v>
      </c>
      <c r="C25" s="1">
        <v>202607</v>
      </c>
      <c r="D25" s="1">
        <v>202607</v>
      </c>
      <c r="E25" s="1" t="s">
        <v>24</v>
      </c>
      <c r="F25" s="1">
        <v>0</v>
      </c>
      <c r="G25" s="1" t="s">
        <v>17</v>
      </c>
      <c r="H25" s="1" t="s">
        <v>21</v>
      </c>
      <c r="I25" s="2">
        <v>12</v>
      </c>
      <c r="J25" s="3">
        <v>9.6</v>
      </c>
      <c r="K25" s="4">
        <v>4.2500000000000003E-3</v>
      </c>
      <c r="L25" s="5">
        <v>0.04</v>
      </c>
      <c r="M25" s="5">
        <v>0</v>
      </c>
      <c r="N25" s="5">
        <v>0</v>
      </c>
      <c r="O25" s="5">
        <v>0.04</v>
      </c>
    </row>
    <row r="26" spans="1:15" x14ac:dyDescent="0.3">
      <c r="A26" s="1">
        <v>917</v>
      </c>
      <c r="B26" s="1">
        <v>200</v>
      </c>
      <c r="C26" s="1">
        <v>202607</v>
      </c>
      <c r="D26" s="1">
        <v>202607</v>
      </c>
      <c r="E26" s="1" t="s">
        <v>24</v>
      </c>
      <c r="F26" s="1">
        <v>0</v>
      </c>
      <c r="G26" s="1" t="s">
        <v>17</v>
      </c>
      <c r="H26" s="1" t="s">
        <v>21</v>
      </c>
      <c r="I26" s="2">
        <v>1</v>
      </c>
      <c r="J26" s="3">
        <v>0.7</v>
      </c>
      <c r="K26" s="4">
        <v>4.2500000000000003E-3</v>
      </c>
      <c r="L26" s="5">
        <v>0</v>
      </c>
      <c r="M26" s="5">
        <v>0</v>
      </c>
      <c r="N26" s="5">
        <v>0</v>
      </c>
      <c r="O26" s="5">
        <v>0</v>
      </c>
    </row>
    <row r="27" spans="1:15" x14ac:dyDescent="0.3">
      <c r="A27" s="1">
        <v>917</v>
      </c>
      <c r="B27" s="1">
        <v>200</v>
      </c>
      <c r="C27" s="1">
        <v>202607</v>
      </c>
      <c r="D27" s="1">
        <v>202607</v>
      </c>
      <c r="E27" s="1" t="s">
        <v>25</v>
      </c>
      <c r="F27" s="1">
        <v>0</v>
      </c>
      <c r="G27" s="1" t="s">
        <v>26</v>
      </c>
      <c r="H27" s="1" t="s">
        <v>18</v>
      </c>
      <c r="I27" s="2">
        <v>62136</v>
      </c>
      <c r="J27" s="3">
        <v>183715.19999999998</v>
      </c>
      <c r="K27" s="4">
        <v>6.0800000000000003E-3</v>
      </c>
      <c r="L27" s="5">
        <v>1116.99</v>
      </c>
      <c r="M27" s="5">
        <v>42.31</v>
      </c>
      <c r="N27" s="5">
        <v>0</v>
      </c>
      <c r="O27" s="5">
        <v>1159.3</v>
      </c>
    </row>
    <row r="28" spans="1:15" x14ac:dyDescent="0.3">
      <c r="A28" s="1">
        <v>917</v>
      </c>
      <c r="B28" s="1">
        <v>200</v>
      </c>
      <c r="C28" s="1">
        <v>202607</v>
      </c>
      <c r="D28" s="1">
        <v>202607</v>
      </c>
      <c r="E28" s="1" t="s">
        <v>27</v>
      </c>
      <c r="F28" s="1">
        <v>0</v>
      </c>
      <c r="G28" s="1" t="s">
        <v>26</v>
      </c>
      <c r="H28" s="1" t="s">
        <v>18</v>
      </c>
      <c r="I28" s="2">
        <v>541</v>
      </c>
      <c r="J28" s="3">
        <v>1255.5999999999999</v>
      </c>
      <c r="K28" s="4">
        <v>6.0800000000000003E-3</v>
      </c>
      <c r="L28" s="5">
        <v>7.63</v>
      </c>
      <c r="M28" s="5">
        <v>0.28999999999999998</v>
      </c>
      <c r="N28" s="5">
        <v>0</v>
      </c>
      <c r="O28" s="5">
        <v>7.92</v>
      </c>
    </row>
    <row r="29" spans="1:15" x14ac:dyDescent="0.3">
      <c r="A29" s="1">
        <v>917</v>
      </c>
      <c r="B29" s="1">
        <v>200</v>
      </c>
      <c r="C29" s="1">
        <v>202607</v>
      </c>
      <c r="D29" s="1">
        <v>202607</v>
      </c>
      <c r="E29" s="1" t="s">
        <v>28</v>
      </c>
      <c r="F29" s="1">
        <v>0</v>
      </c>
      <c r="G29" s="1" t="s">
        <v>26</v>
      </c>
      <c r="H29" s="1" t="s">
        <v>18</v>
      </c>
      <c r="I29" s="2">
        <v>3584</v>
      </c>
      <c r="J29" s="3">
        <v>3949.0000000000005</v>
      </c>
      <c r="K29" s="4">
        <v>6.0800000000000003E-3</v>
      </c>
      <c r="L29" s="5">
        <v>24.01</v>
      </c>
      <c r="M29" s="5">
        <v>0.91</v>
      </c>
      <c r="N29" s="5">
        <v>0</v>
      </c>
      <c r="O29" s="5">
        <v>24.92</v>
      </c>
    </row>
    <row r="30" spans="1:15" x14ac:dyDescent="0.3">
      <c r="A30" s="1">
        <v>917</v>
      </c>
      <c r="B30" s="1">
        <v>200</v>
      </c>
      <c r="C30" s="1">
        <v>202607</v>
      </c>
      <c r="D30" s="1">
        <v>202607</v>
      </c>
      <c r="E30" s="1" t="s">
        <v>29</v>
      </c>
      <c r="F30" s="1">
        <v>0</v>
      </c>
      <c r="G30" s="1" t="s">
        <v>26</v>
      </c>
      <c r="H30" s="1" t="s">
        <v>18</v>
      </c>
      <c r="I30" s="2">
        <v>112026</v>
      </c>
      <c r="J30" s="3">
        <v>108025.59999999999</v>
      </c>
      <c r="K30" s="4">
        <v>6.0800000000000003E-3</v>
      </c>
      <c r="L30" s="5">
        <v>656.8</v>
      </c>
      <c r="M30" s="5">
        <v>24.88</v>
      </c>
      <c r="N30" s="5">
        <v>0</v>
      </c>
      <c r="O30" s="5">
        <v>681.68</v>
      </c>
    </row>
    <row r="31" spans="1:15" x14ac:dyDescent="0.3">
      <c r="A31" s="1">
        <v>917</v>
      </c>
      <c r="B31" s="1">
        <v>200</v>
      </c>
      <c r="C31" s="1">
        <v>202607</v>
      </c>
      <c r="D31" s="1">
        <v>202607</v>
      </c>
      <c r="E31" s="1" t="s">
        <v>30</v>
      </c>
      <c r="F31" s="1">
        <v>0</v>
      </c>
      <c r="G31" s="1" t="s">
        <v>26</v>
      </c>
      <c r="H31" s="1" t="s">
        <v>18</v>
      </c>
      <c r="I31" s="2">
        <v>24390</v>
      </c>
      <c r="J31" s="3">
        <v>135512.80000000002</v>
      </c>
      <c r="K31" s="4">
        <v>6.0800000000000003E-3</v>
      </c>
      <c r="L31" s="5">
        <v>823.92</v>
      </c>
      <c r="M31" s="5">
        <v>31.21</v>
      </c>
      <c r="N31" s="5">
        <v>0</v>
      </c>
      <c r="O31" s="5">
        <v>855.13</v>
      </c>
    </row>
    <row r="32" spans="1:15" x14ac:dyDescent="0.3">
      <c r="A32" s="1">
        <v>917</v>
      </c>
      <c r="B32" s="1">
        <v>200</v>
      </c>
      <c r="C32" s="1">
        <v>202607</v>
      </c>
      <c r="D32" s="1">
        <v>202607</v>
      </c>
      <c r="E32" s="1" t="s">
        <v>31</v>
      </c>
      <c r="F32" s="1">
        <v>0</v>
      </c>
      <c r="G32" s="1" t="s">
        <v>26</v>
      </c>
      <c r="H32" s="1" t="s">
        <v>18</v>
      </c>
      <c r="I32" s="2">
        <v>40505</v>
      </c>
      <c r="J32" s="3">
        <v>83765.899999999994</v>
      </c>
      <c r="K32" s="4">
        <v>6.0800000000000003E-3</v>
      </c>
      <c r="L32" s="5">
        <v>509.3</v>
      </c>
      <c r="M32" s="5">
        <v>19.29</v>
      </c>
      <c r="N32" s="5">
        <v>0</v>
      </c>
      <c r="O32" s="5">
        <v>528.59</v>
      </c>
    </row>
    <row r="33" spans="1:15" x14ac:dyDescent="0.3">
      <c r="A33" s="1">
        <v>917</v>
      </c>
      <c r="B33" s="1">
        <v>200</v>
      </c>
      <c r="C33" s="1">
        <v>202607</v>
      </c>
      <c r="D33" s="1">
        <v>202607</v>
      </c>
      <c r="E33" s="1" t="s">
        <v>32</v>
      </c>
      <c r="F33" s="1">
        <v>0</v>
      </c>
      <c r="G33" s="1" t="s">
        <v>26</v>
      </c>
      <c r="H33" s="1" t="s">
        <v>18</v>
      </c>
      <c r="I33" s="2">
        <v>4193</v>
      </c>
      <c r="J33" s="3">
        <v>4046.7</v>
      </c>
      <c r="K33" s="4">
        <v>6.0800000000000003E-3</v>
      </c>
      <c r="L33" s="5">
        <v>24.6</v>
      </c>
      <c r="M33" s="5">
        <v>0.94</v>
      </c>
      <c r="N33" s="5">
        <v>0</v>
      </c>
      <c r="O33" s="5">
        <v>25.54</v>
      </c>
    </row>
    <row r="34" spans="1:15" x14ac:dyDescent="0.3">
      <c r="A34" s="1">
        <v>917</v>
      </c>
      <c r="B34" s="1">
        <v>200</v>
      </c>
      <c r="C34" s="1">
        <v>202607</v>
      </c>
      <c r="D34" s="1">
        <v>202607</v>
      </c>
      <c r="E34" s="1" t="s">
        <v>33</v>
      </c>
      <c r="F34" s="1">
        <v>0</v>
      </c>
      <c r="G34" s="1" t="s">
        <v>26</v>
      </c>
      <c r="H34" s="1" t="s">
        <v>18</v>
      </c>
      <c r="I34" s="2">
        <v>8547</v>
      </c>
      <c r="J34" s="3">
        <v>25223.100000000002</v>
      </c>
      <c r="K34" s="4">
        <v>6.0800000000000003E-3</v>
      </c>
      <c r="L34" s="5">
        <v>153.36000000000001</v>
      </c>
      <c r="M34" s="5">
        <v>5.81</v>
      </c>
      <c r="N34" s="5">
        <v>0</v>
      </c>
      <c r="O34" s="5">
        <v>159.16999999999999</v>
      </c>
    </row>
    <row r="35" spans="1:15" x14ac:dyDescent="0.3">
      <c r="A35" s="1">
        <v>917</v>
      </c>
      <c r="B35" s="1">
        <v>200</v>
      </c>
      <c r="C35" s="1">
        <v>202607</v>
      </c>
      <c r="D35" s="1">
        <v>202607</v>
      </c>
      <c r="E35" s="1" t="s">
        <v>25</v>
      </c>
      <c r="F35" s="1">
        <v>0</v>
      </c>
      <c r="G35" s="1" t="s">
        <v>26</v>
      </c>
      <c r="H35" s="1" t="s">
        <v>21</v>
      </c>
      <c r="I35" s="2">
        <v>1388</v>
      </c>
      <c r="J35" s="3">
        <v>6110.4000000000005</v>
      </c>
      <c r="K35" s="4">
        <v>4.2500000000000003E-3</v>
      </c>
      <c r="L35" s="5">
        <v>25.97</v>
      </c>
      <c r="M35" s="5">
        <v>0.98</v>
      </c>
      <c r="N35" s="5">
        <v>0</v>
      </c>
      <c r="O35" s="5">
        <v>26.95</v>
      </c>
    </row>
    <row r="36" spans="1:15" x14ac:dyDescent="0.3">
      <c r="A36" s="1">
        <v>917</v>
      </c>
      <c r="B36" s="1">
        <v>200</v>
      </c>
      <c r="C36" s="1">
        <v>202607</v>
      </c>
      <c r="D36" s="1">
        <v>202607</v>
      </c>
      <c r="E36" s="1" t="s">
        <v>27</v>
      </c>
      <c r="F36" s="1">
        <v>0</v>
      </c>
      <c r="G36" s="1" t="s">
        <v>26</v>
      </c>
      <c r="H36" s="1" t="s">
        <v>21</v>
      </c>
      <c r="I36" s="2">
        <v>18</v>
      </c>
      <c r="J36" s="3">
        <v>86.100000000000009</v>
      </c>
      <c r="K36" s="4">
        <v>4.2500000000000003E-3</v>
      </c>
      <c r="L36" s="5">
        <v>0.37</v>
      </c>
      <c r="M36" s="5">
        <v>0.01</v>
      </c>
      <c r="N36" s="5">
        <v>0</v>
      </c>
      <c r="O36" s="5">
        <v>0.38</v>
      </c>
    </row>
    <row r="37" spans="1:15" x14ac:dyDescent="0.3">
      <c r="A37" s="1">
        <v>917</v>
      </c>
      <c r="B37" s="1">
        <v>200</v>
      </c>
      <c r="C37" s="1">
        <v>202607</v>
      </c>
      <c r="D37" s="1">
        <v>202607</v>
      </c>
      <c r="E37" s="1" t="s">
        <v>28</v>
      </c>
      <c r="F37" s="1">
        <v>0</v>
      </c>
      <c r="G37" s="1" t="s">
        <v>26</v>
      </c>
      <c r="H37" s="1" t="s">
        <v>21</v>
      </c>
      <c r="I37" s="2">
        <v>19</v>
      </c>
      <c r="J37" s="3">
        <v>51.6</v>
      </c>
      <c r="K37" s="4">
        <v>4.2500000000000003E-3</v>
      </c>
      <c r="L37" s="5">
        <v>0.22</v>
      </c>
      <c r="M37" s="5">
        <v>0.01</v>
      </c>
      <c r="N37" s="5">
        <v>0</v>
      </c>
      <c r="O37" s="5">
        <v>0.23</v>
      </c>
    </row>
    <row r="38" spans="1:15" x14ac:dyDescent="0.3">
      <c r="A38" s="1">
        <v>917</v>
      </c>
      <c r="B38" s="1">
        <v>200</v>
      </c>
      <c r="C38" s="1">
        <v>202607</v>
      </c>
      <c r="D38" s="1">
        <v>202607</v>
      </c>
      <c r="E38" s="1" t="s">
        <v>29</v>
      </c>
      <c r="F38" s="1">
        <v>0</v>
      </c>
      <c r="G38" s="1" t="s">
        <v>26</v>
      </c>
      <c r="H38" s="1" t="s">
        <v>21</v>
      </c>
      <c r="I38" s="2">
        <v>653</v>
      </c>
      <c r="J38" s="3">
        <v>1355.6999999999998</v>
      </c>
      <c r="K38" s="4">
        <v>4.2500000000000003E-3</v>
      </c>
      <c r="L38" s="5">
        <v>5.76</v>
      </c>
      <c r="M38" s="5">
        <v>0.22</v>
      </c>
      <c r="N38" s="5">
        <v>0</v>
      </c>
      <c r="O38" s="5">
        <v>5.98</v>
      </c>
    </row>
    <row r="39" spans="1:15" x14ac:dyDescent="0.3">
      <c r="A39" s="1">
        <v>917</v>
      </c>
      <c r="B39" s="1">
        <v>200</v>
      </c>
      <c r="C39" s="1">
        <v>202607</v>
      </c>
      <c r="D39" s="1">
        <v>202607</v>
      </c>
      <c r="E39" s="1" t="s">
        <v>30</v>
      </c>
      <c r="F39" s="1">
        <v>0</v>
      </c>
      <c r="G39" s="1" t="s">
        <v>26</v>
      </c>
      <c r="H39" s="1" t="s">
        <v>21</v>
      </c>
      <c r="I39" s="2">
        <v>904</v>
      </c>
      <c r="J39" s="3">
        <v>7142.9</v>
      </c>
      <c r="K39" s="4">
        <v>4.2500000000000003E-3</v>
      </c>
      <c r="L39" s="5">
        <v>30.36</v>
      </c>
      <c r="M39" s="5">
        <v>1.1499999999999999</v>
      </c>
      <c r="N39" s="5">
        <v>0</v>
      </c>
      <c r="O39" s="5">
        <v>31.51</v>
      </c>
    </row>
    <row r="40" spans="1:15" x14ac:dyDescent="0.3">
      <c r="A40" s="1">
        <v>917</v>
      </c>
      <c r="B40" s="1">
        <v>200</v>
      </c>
      <c r="C40" s="1">
        <v>202607</v>
      </c>
      <c r="D40" s="1">
        <v>202607</v>
      </c>
      <c r="E40" s="1" t="s">
        <v>31</v>
      </c>
      <c r="F40" s="1">
        <v>0</v>
      </c>
      <c r="G40" s="1" t="s">
        <v>26</v>
      </c>
      <c r="H40" s="1" t="s">
        <v>21</v>
      </c>
      <c r="I40" s="2">
        <v>1457</v>
      </c>
      <c r="J40" s="3">
        <v>4553.4000000000005</v>
      </c>
      <c r="K40" s="4">
        <v>4.2500000000000003E-3</v>
      </c>
      <c r="L40" s="5">
        <v>19.350000000000001</v>
      </c>
      <c r="M40" s="5">
        <v>0.74</v>
      </c>
      <c r="N40" s="5">
        <v>0</v>
      </c>
      <c r="O40" s="5">
        <v>20.09</v>
      </c>
    </row>
    <row r="41" spans="1:15" x14ac:dyDescent="0.3">
      <c r="A41" s="1">
        <v>917</v>
      </c>
      <c r="B41" s="1">
        <v>200</v>
      </c>
      <c r="C41" s="1">
        <v>202607</v>
      </c>
      <c r="D41" s="1">
        <v>202607</v>
      </c>
      <c r="E41" s="1" t="s">
        <v>32</v>
      </c>
      <c r="F41" s="1">
        <v>0</v>
      </c>
      <c r="G41" s="1" t="s">
        <v>26</v>
      </c>
      <c r="H41" s="1" t="s">
        <v>21</v>
      </c>
      <c r="I41" s="2">
        <v>56</v>
      </c>
      <c r="J41" s="3">
        <v>315.7</v>
      </c>
      <c r="K41" s="4">
        <v>4.2500000000000003E-3</v>
      </c>
      <c r="L41" s="5">
        <v>1.34</v>
      </c>
      <c r="M41" s="5">
        <v>0.05</v>
      </c>
      <c r="N41" s="5">
        <v>0</v>
      </c>
      <c r="O41" s="5">
        <v>1.39</v>
      </c>
    </row>
    <row r="42" spans="1:15" x14ac:dyDescent="0.3">
      <c r="A42" s="1">
        <v>917</v>
      </c>
      <c r="B42" s="1">
        <v>200</v>
      </c>
      <c r="C42" s="1">
        <v>202607</v>
      </c>
      <c r="D42" s="1">
        <v>202607</v>
      </c>
      <c r="E42" s="1" t="s">
        <v>33</v>
      </c>
      <c r="F42" s="1">
        <v>0</v>
      </c>
      <c r="G42" s="1" t="s">
        <v>26</v>
      </c>
      <c r="H42" s="1" t="s">
        <v>21</v>
      </c>
      <c r="I42" s="2">
        <v>334</v>
      </c>
      <c r="J42" s="3">
        <v>2282.4000000000005</v>
      </c>
      <c r="K42" s="4">
        <v>4.2500000000000003E-3</v>
      </c>
      <c r="L42" s="5">
        <v>9.6999999999999993</v>
      </c>
      <c r="M42" s="5">
        <v>0.37</v>
      </c>
      <c r="N42" s="5">
        <v>0</v>
      </c>
      <c r="O42" s="5">
        <v>10.07</v>
      </c>
    </row>
    <row r="44" spans="1:15" x14ac:dyDescent="0.3">
      <c r="F44" s="1">
        <v>1</v>
      </c>
      <c r="I44" s="2">
        <f>SUM(I15:I42)</f>
        <v>272028</v>
      </c>
      <c r="J44" s="3">
        <f>SUM(J15:J42)</f>
        <v>624599.09999999986</v>
      </c>
      <c r="L44" s="5">
        <f>SUM(L15:L42)</f>
        <v>3755.62</v>
      </c>
      <c r="M44" s="5">
        <f>SUM(M15:M42)</f>
        <v>142.25</v>
      </c>
      <c r="N44" s="5">
        <f>SUM(N15:N42)</f>
        <v>0</v>
      </c>
      <c r="O44" s="5">
        <f>SUM(O15:O42)</f>
        <v>3897.8700000000008</v>
      </c>
    </row>
    <row r="46" spans="1:15" x14ac:dyDescent="0.3">
      <c r="F46" s="1">
        <v>1</v>
      </c>
      <c r="I46" s="2">
        <f>I13+I44</f>
        <v>272514</v>
      </c>
      <c r="J46" s="3">
        <f t="shared" ref="J46:O46" si="1">J13+J44</f>
        <v>627283.89999999991</v>
      </c>
      <c r="K46" s="2"/>
      <c r="L46" s="5">
        <f t="shared" si="1"/>
        <v>3771.89</v>
      </c>
      <c r="M46" s="5">
        <f t="shared" si="1"/>
        <v>142.88</v>
      </c>
      <c r="N46" s="5">
        <f t="shared" si="1"/>
        <v>0</v>
      </c>
      <c r="O46" s="5">
        <f t="shared" si="1"/>
        <v>3914.7700000000009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F697F79F9BF548A1C1862D2EE7C48C" ma:contentTypeVersion="16" ma:contentTypeDescription="Crie um novo documento." ma:contentTypeScope="" ma:versionID="15d1b6799a8116ebd9749b8c7c72bcfb">
  <xsd:schema xmlns:xsd="http://www.w3.org/2001/XMLSchema" xmlns:xs="http://www.w3.org/2001/XMLSchema" xmlns:p="http://schemas.microsoft.com/office/2006/metadata/properties" xmlns:ns2="b2dbc744-7d1b-4add-ac07-522377364de4" xmlns:ns3="5a7c68a4-1db7-4035-9add-6586fd13e4fc" targetNamespace="http://schemas.microsoft.com/office/2006/metadata/properties" ma:root="true" ma:fieldsID="e8cfae076b9651d1186e44aabe9c5bbe" ns2:_="" ns3:_="">
    <xsd:import namespace="b2dbc744-7d1b-4add-ac07-522377364de4"/>
    <xsd:import namespace="5a7c68a4-1db7-4035-9add-6586fd13e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bc744-7d1b-4add-ac07-522377364d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4e366eef-aeda-4813-ad90-24796c6192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c68a4-1db7-4035-9add-6586fd13e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095d39-e627-443d-9b9a-fe0e3e5a7464}" ma:internalName="TaxCatchAll" ma:showField="CatchAllData" ma:web="5a7c68a4-1db7-4035-9add-6586fd13e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7c68a4-1db7-4035-9add-6586fd13e4fc" xsi:nil="true"/>
    <lcf76f155ced4ddcb4097134ff3c332f xmlns="b2dbc744-7d1b-4add-ac07-522377364d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89D2E8-85A6-4726-8BE0-E0CA32F5A5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FB9CF-998F-4FEB-AA18-1278EC8684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dbc744-7d1b-4add-ac07-522377364de4"/>
    <ds:schemaRef ds:uri="5a7c68a4-1db7-4035-9add-6586fd13e4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BD21C1-BDEA-431A-BC46-5AB3980D8ECD}">
  <ds:schemaRefs>
    <ds:schemaRef ds:uri="http://schemas.microsoft.com/office/2006/metadata/properties"/>
    <ds:schemaRef ds:uri="http://schemas.microsoft.com/office/infopath/2007/PartnerControls"/>
    <ds:schemaRef ds:uri="5a7c68a4-1db7-4035-9add-6586fd13e4fc"/>
    <ds:schemaRef ds:uri="b2dbc744-7d1b-4add-ac07-522377364d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Kloss</dc:creator>
  <cp:lastModifiedBy>Ariel Medina</cp:lastModifiedBy>
  <dcterms:created xsi:type="dcterms:W3CDTF">2026-08-05T16:35:25Z</dcterms:created>
  <dcterms:modified xsi:type="dcterms:W3CDTF">2026-08-06T13:29:07Z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0x0101005DF697F79F9BF548A1C1862D2EE7C48C</vt:lpwstr>
  </property>
  <property fmtid="{D5CDD505-2E9C-101B-9397-08002B2CF9AE}" pid="3" name="MediaServiceImageTags">
    <vt:lpwstr/>
  </property>
</Properties>
</file>