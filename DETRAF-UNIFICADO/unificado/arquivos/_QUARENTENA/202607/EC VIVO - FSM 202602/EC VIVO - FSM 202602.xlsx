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FSM\"/>
    </mc:Choice>
  </mc:AlternateContent>
  <xr:revisionPtr revIDLastSave="0" documentId="13_ncr:1_{BAB2EC0F-0B6D-43DF-9A97-6B437D2AB833}" xr6:coauthVersionLast="47" xr6:coauthVersionMax="47" xr10:uidLastSave="{00000000-0000-0000-0000-000000000000}"/>
  <bookViews>
    <workbookView xWindow="-110" yWindow="-110" windowWidth="19420" windowHeight="10300" xr2:uid="{2FB1B8A8-C491-4CE4-A040-6C4EA80B90CE}"/>
  </bookViews>
  <sheets>
    <sheet name="FSM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N2" i="1"/>
  <c r="L2" i="1"/>
  <c r="P82" i="1" l="1"/>
  <c r="P85" i="1"/>
  <c r="P87" i="1" s="1"/>
  <c r="P81" i="1"/>
  <c r="P83" i="1" s="1"/>
  <c r="P89" i="1" l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<sst xmlns="http://schemas.openxmlformats.org/spreadsheetml/2006/main" count="61" uniqueCount="57">
  <si>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</si>
  <si>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</si>
  <si>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</si>
  <si>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</si>
  <si>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</si>
  <si>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</si>
  <si>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</si>
  <si>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</si>
  <si>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</si>
  <si>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</si>
  <si>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</si>
  <si>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</si>
  <si>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</si>
  <si>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</si>
  <si>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</si>
  <si>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</si>
  <si>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</si>
  <si>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</si>
  <si>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</si>
  <si>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</si>
  <si>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</si>
  <si>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</si>
  <si>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</si>
  <si>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</si>
  <si>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</si>
  <si>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</si>
  <si>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</si>
  <si>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</si>
  <si>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</si>
  <si>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</si>
  <si>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</si>
  <si>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</si>
  <si>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</si>
  <si>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</si>
  <si>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</si>
  <si>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</si>
  <si>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</si>
  <si>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</si>
  <si>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</si>
  <si>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</si>
  <si>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</si>
  <si>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</si>
  <si>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</si>
  <si>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</si>
  <si>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</si>
  <si>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</si>
  <si>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</si>
  <si>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</si>
  <si>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</si>
  <si>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</si>
  <si>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</si>
  <si>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</si>
  <si>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</si>
  <si>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</si>
  <si>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</si>
  <si>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</si>
  <si>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theme="5" tint="-0.499984740745262"/>
        <rFont val="Calibri"/>
        <family val="2"/>
        <scheme val="minor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</si>
</sst>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361FD677-F701-4BE0-AC4B-7EEC9D32ECAA}"/>
    <cellStyle name="Normal 2 2 22" xfId="10" xr:uid="{2A142CF6-BFB0-4807-B22F-9400CB9BEA70}"/>
    <cellStyle name="Normal 84" xfId="5" xr:uid="{87D02747-DCC4-4F70-AB20-036D30E9FCB3}"/>
    <cellStyle name="Normal 9 2" xfId="2" xr:uid="{AC61F3A3-F7C4-4FE0-A817-4016697A0B3B}"/>
    <cellStyle name="Porcentagem 2" xfId="6" xr:uid="{B641FF62-91BF-4BDB-A96B-A2B8FF356B55}"/>
    <cellStyle name="Separador de milhares 10 2 2" xfId="8" xr:uid="{3FB02D2D-60B0-4C38-BDC9-D8F1E3321182}"/>
    <cellStyle name="Separador de milhares 14 4" xfId="9" xr:uid="{36ACBF09-0A2B-408A-9D31-87915288EC71}"/>
    <cellStyle name="Separador de milhares 22 2 2" xfId="7" xr:uid="{D9169538-09A0-43A1-B691-1BE5E10A285E}"/>
    <cellStyle name="Separador de milhares 22 4" xfId="11" xr:uid="{52512EA7-8DBD-4C94-979A-310A85BE5CA2}"/>
    <cellStyle name="Vírgula 2 3 3" xfId="4" xr:uid="{5A45025C-B73D-4637-94FD-4DE870D09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8E3EF620-55CA-4658-BB4A-A4DDD1A3A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28BB9BC4-82FC-4AB9-A57D-63E35B31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3C741010-FF46-4290-9B2F-650AD24E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9AE9CC92-3190-4291-820D-B0ECFD27D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BDC60352-245C-480C-9AA4-722103C8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79A18075-AD55-4EF3-9928-7A45A986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78C5D7-6F2F-4073-AF56-AF66E60ADC66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2\EC_2026.02_Hugo.xlsm" TargetMode="External"/><Relationship Id="rId1" Type="http://schemas.openxmlformats.org/officeDocument/2006/relationships/externalLinkPath" Target="file:///\\Lagoa\di\DI-A\DI-A1\Encontro%20de%20Contas\2026\202602\EC_2026.02_Hug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4NET"/>
      <sheetName val="8BR"/>
      <sheetName val="55TELECOM"/>
      <sheetName val="100LIMITE"/>
      <sheetName val="ADVANCE"/>
      <sheetName val="AGERA"/>
      <sheetName val="ALGARVGL"/>
      <sheetName val="ATLANET"/>
      <sheetName val="ATUATEC"/>
      <sheetName val="BALDUSSI"/>
      <sheetName val="BrasilTecpar"/>
      <sheetName val="BRASERVICOS"/>
      <sheetName val="BRASILFONE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EPOSITAR"/>
      <sheetName val="EVOLUX"/>
      <sheetName val="FIBERVOICE"/>
      <sheetName val="FALEMAIS"/>
      <sheetName val="FLUXTELECOM"/>
      <sheetName val="FIBERVOX"/>
      <sheetName val="GIGABYTE"/>
      <sheetName val="FSM"/>
      <sheetName val="GLOBAL"/>
      <sheetName val="GOLD"/>
      <sheetName val="HITTELCM"/>
      <sheetName val="HZ"/>
      <sheetName val="INNOVA"/>
      <sheetName val="INTEREDE"/>
      <sheetName val="IVELOZ"/>
      <sheetName val="JRC"/>
      <sheetName val="LH"/>
      <sheetName val="LIFETEL"/>
      <sheetName val="LINQ"/>
      <sheetName val="MD"/>
      <sheetName val="MOGA"/>
      <sheetName val="NET11"/>
      <sheetName val="NETSPEED"/>
      <sheetName val="NETWARE"/>
      <sheetName val="NETSERV"/>
      <sheetName val="NOVACIA"/>
      <sheetName val="NOVATECH"/>
      <sheetName val="NOVVACORE"/>
      <sheetName val="OTIMA"/>
      <sheetName val="OAI"/>
      <sheetName val="PLIS"/>
      <sheetName val="SERCOMTELCEL"/>
      <sheetName val="SERCOMTELTEL"/>
      <sheetName val="SEMFRONTEIRAS"/>
      <sheetName val="RADIOBRAS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Valida Receita"/>
      <sheetName val="Planilha5"/>
    </sheetNames>
    <sheetDataSet>
      <sheetData sheetId="0">
        <row r="16">
          <cell r="J16">
            <v>46111</v>
          </cell>
          <cell r="K16">
            <v>202602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CCE-35F0-41C7-9F83-673775F7FF56}">
  <sheetPr codeName="Planilha13">
    <tabColor theme="2"/>
    <pageSetUpPr fitToPage="1"/>
  </sheetPr>
  <dimension ref="A1:BD140"/>
  <sheetViews>
    <sheetView showGridLines="0" tabSelected="1" zoomScale="55" zoomScaleNormal="55" workbookViewId="0">
      <pane xSplit="1" ySplit="6" topLeftCell="C7" activePane="bottomRight" state="frozen"/>
      <selection activeCell="D5" sqref="D5"/>
      <selection pane="topRight" activeCell="D5" sqref="D5"/>
      <selection pane="bottomLeft" activeCell="D5" sqref="D5"/>
      <selection pane="bottomRight" activeCell="N20" sqref="N20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8.5429687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8" width="9.453125" style="3" customWidth="1"/>
    <col min="259" max="259" width="16.54296875" style="3" customWidth="1"/>
    <col min="260" max="260" width="18.453125" style="3" customWidth="1"/>
    <col min="261" max="261" width="9.453125" style="3" customWidth="1"/>
    <col min="262" max="262" width="17.453125" style="3" customWidth="1"/>
    <col min="263" max="263" width="9.453125" style="3" customWidth="1"/>
    <col min="264" max="264" width="18" style="3" customWidth="1"/>
    <col min="265" max="265" width="20.453125" style="3" customWidth="1"/>
    <col min="26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>
        <f>[1]Controle!J16</f>
        <v>46111</v>
      </c>
      <c r="M2" s="5" t="s">
        <v>1</v>
      </c>
      <c r="N2" s="5">
        <f>[1]Controle!K16</f>
        <v>202602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5869.9400000000096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-4306.95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B10" s="18"/>
      <c r="C10" s="3">
        <v>982.91999999999928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-2970.05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B11" s="18"/>
      <c r="C11" s="3">
        <v>1919.6099999999988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3">
        <v>-153.97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22">
        <v>4625.3100000000013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-17792.32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B13" s="18"/>
      <c r="C13" s="3">
        <v>72.58</v>
      </c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B14" s="18"/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C17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 s="22"/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22">
        <v>464.45999999999987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-662.05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B21" s="18"/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22">
        <v>660.78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-1235.77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>
        <v>-110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/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22.249999999999989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461.8699999999991</v>
      </c>
      <c r="R34" s="28"/>
      <c r="S34" s="28">
        <v>28748.937575000553</v>
      </c>
      <c r="T34" s="28"/>
      <c r="U34" s="28"/>
      <c r="V34" s="28"/>
      <c r="W34" s="28"/>
      <c r="X34" s="28"/>
      <c r="Y34" s="28"/>
      <c r="Z34" s="28"/>
      <c r="AA34" s="29">
        <v>-6417.88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14595.600000000009</v>
      </c>
      <c r="D68" s="38">
        <f>SUM(D7:D67)</f>
        <v>0</v>
      </c>
      <c r="E68" s="38">
        <f>SUM(E7:E67)</f>
        <v>22.249999999999989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461.8699999999991</v>
      </c>
      <c r="R68" s="38">
        <f t="shared" si="0"/>
        <v>0</v>
      </c>
      <c r="S68" s="38">
        <f t="shared" si="0"/>
        <v>28748.937575000553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-33648.99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>SUM(C7:C33)</f>
        <v>14595.600000000009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-27231.11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>B34+B35</f>
        <v>0</v>
      </c>
      <c r="C70" s="46">
        <f t="shared" ref="C70:D70" si="2">C34+C35</f>
        <v>0</v>
      </c>
      <c r="D70" s="46">
        <f t="shared" si="2"/>
        <v>0</v>
      </c>
      <c r="E70" s="46">
        <f>E34+E35</f>
        <v>22.249999999999989</v>
      </c>
      <c r="F70" s="46">
        <f>F34+F35</f>
        <v>0</v>
      </c>
      <c r="G70" s="46">
        <f>G34+G35</f>
        <v>0</v>
      </c>
      <c r="H70" s="46">
        <f>H34+H35</f>
        <v>0</v>
      </c>
      <c r="I70" s="46">
        <f t="shared" ref="I70:AK70" si="3">I34+I35</f>
        <v>0</v>
      </c>
      <c r="J70" s="46">
        <f t="shared" si="3"/>
        <v>0</v>
      </c>
      <c r="K70" s="46">
        <f t="shared" si="3"/>
        <v>0</v>
      </c>
      <c r="L70" s="46">
        <f t="shared" si="3"/>
        <v>0</v>
      </c>
      <c r="M70" s="46">
        <f t="shared" si="3"/>
        <v>0</v>
      </c>
      <c r="N70" s="46">
        <f t="shared" si="3"/>
        <v>0</v>
      </c>
      <c r="O70" s="46">
        <f t="shared" si="3"/>
        <v>0</v>
      </c>
      <c r="P70" s="46">
        <f t="shared" si="3"/>
        <v>0</v>
      </c>
      <c r="Q70" s="46">
        <f t="shared" si="3"/>
        <v>461.8699999999991</v>
      </c>
      <c r="R70" s="46">
        <f t="shared" si="3"/>
        <v>0</v>
      </c>
      <c r="S70" s="46">
        <f t="shared" si="3"/>
        <v>28748.937575000553</v>
      </c>
      <c r="T70" s="46">
        <f t="shared" si="3"/>
        <v>0</v>
      </c>
      <c r="U70" s="46">
        <f t="shared" si="3"/>
        <v>0</v>
      </c>
      <c r="V70" s="46">
        <f t="shared" si="3"/>
        <v>0</v>
      </c>
      <c r="W70" s="46">
        <f t="shared" si="3"/>
        <v>0</v>
      </c>
      <c r="X70" s="46">
        <f t="shared" si="3"/>
        <v>0</v>
      </c>
      <c r="Y70" s="46">
        <f t="shared" si="3"/>
        <v>0</v>
      </c>
      <c r="Z70" s="46">
        <f t="shared" si="3"/>
        <v>0</v>
      </c>
      <c r="AA70" s="47">
        <f t="shared" si="3"/>
        <v>-6417.88</v>
      </c>
      <c r="AB70" s="47">
        <f t="shared" si="3"/>
        <v>0</v>
      </c>
      <c r="AC70" s="47">
        <f t="shared" si="3"/>
        <v>0</v>
      </c>
      <c r="AD70" s="47">
        <f t="shared" si="3"/>
        <v>0</v>
      </c>
      <c r="AE70" s="47">
        <f t="shared" si="3"/>
        <v>0</v>
      </c>
      <c r="AF70" s="47">
        <f t="shared" si="3"/>
        <v>0</v>
      </c>
      <c r="AG70" s="47">
        <f t="shared" si="3"/>
        <v>0</v>
      </c>
      <c r="AH70" s="47">
        <f t="shared" si="3"/>
        <v>0</v>
      </c>
      <c r="AI70" s="47">
        <f t="shared" si="3"/>
        <v>0</v>
      </c>
      <c r="AJ70" s="47">
        <f t="shared" si="3"/>
        <v>0</v>
      </c>
      <c r="AK70" s="48">
        <f t="shared" si="3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4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4"/>
        <v>0</v>
      </c>
      <c r="J71" s="46">
        <f t="shared" si="4"/>
        <v>0</v>
      </c>
      <c r="K71" s="46">
        <f t="shared" si="4"/>
        <v>0</v>
      </c>
      <c r="L71" s="46">
        <f t="shared" si="4"/>
        <v>0</v>
      </c>
      <c r="M71" s="46">
        <f t="shared" si="4"/>
        <v>0</v>
      </c>
      <c r="N71" s="46">
        <f t="shared" si="4"/>
        <v>0</v>
      </c>
      <c r="O71" s="46">
        <f t="shared" si="4"/>
        <v>0</v>
      </c>
      <c r="P71" s="46">
        <f t="shared" si="4"/>
        <v>0</v>
      </c>
      <c r="Q71" s="46">
        <f t="shared" si="4"/>
        <v>0</v>
      </c>
      <c r="R71" s="46">
        <f t="shared" si="4"/>
        <v>0</v>
      </c>
      <c r="S71" s="46">
        <f t="shared" si="4"/>
        <v>0</v>
      </c>
      <c r="T71" s="46">
        <f t="shared" si="4"/>
        <v>0</v>
      </c>
      <c r="U71" s="46">
        <f t="shared" si="4"/>
        <v>0</v>
      </c>
      <c r="V71" s="46">
        <f t="shared" si="4"/>
        <v>0</v>
      </c>
      <c r="W71" s="46">
        <f t="shared" si="4"/>
        <v>0</v>
      </c>
      <c r="X71" s="46">
        <f t="shared" si="4"/>
        <v>0</v>
      </c>
      <c r="Y71" s="46">
        <f t="shared" si="4"/>
        <v>0</v>
      </c>
      <c r="Z71" s="46">
        <f t="shared" si="4"/>
        <v>0</v>
      </c>
      <c r="AA71" s="47">
        <f t="shared" si="4"/>
        <v>0</v>
      </c>
      <c r="AB71" s="47">
        <f t="shared" si="4"/>
        <v>0</v>
      </c>
      <c r="AC71" s="47">
        <f t="shared" si="4"/>
        <v>0</v>
      </c>
      <c r="AD71" s="47">
        <f t="shared" si="4"/>
        <v>0</v>
      </c>
      <c r="AE71" s="47">
        <f t="shared" si="4"/>
        <v>0</v>
      </c>
      <c r="AF71" s="47">
        <f t="shared" si="4"/>
        <v>0</v>
      </c>
      <c r="AG71" s="47">
        <f t="shared" si="4"/>
        <v>0</v>
      </c>
      <c r="AH71" s="47">
        <f t="shared" si="4"/>
        <v>0</v>
      </c>
      <c r="AI71" s="47">
        <f t="shared" si="4"/>
        <v>0</v>
      </c>
      <c r="AJ71" s="47">
        <f t="shared" si="4"/>
        <v>0</v>
      </c>
      <c r="AK71" s="48">
        <f t="shared" si="4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43828.657575000558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43828.657575000558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-33648.99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-33648.99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10179.66757500056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10179.66757500056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4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2026-03-24T17:30:07Z</dcterms:created>
  <dcterms:modified xsi:type="dcterms:W3CDTF">2026-03-25T17:06:18Z</dcterms:modified>
</cp:coreProperties>
</file>