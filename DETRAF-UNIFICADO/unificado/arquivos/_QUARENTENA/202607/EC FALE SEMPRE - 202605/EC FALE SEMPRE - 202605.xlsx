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matheus_ssantos_telefonica_com/Documents/Desktop/"/>
    </mc:Choice>
  </mc:AlternateContent>
  <xr:revisionPtr revIDLastSave="0" documentId="8_{1FF05750-49AC-49A9-B408-5CE9BF388CBB}" xr6:coauthVersionLast="47" xr6:coauthVersionMax="47" xr10:uidLastSave="{00000000-0000-0000-0000-000000000000}"/>
  <bookViews>
    <workbookView xWindow="-110" yWindow="-110" windowWidth="19420" windowHeight="10300" xr2:uid="{409BBF98-8F31-4A67-837E-ACEE833D39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P85" i="1" s="1"/>
  <c r="AF68" i="1"/>
  <c r="P86" i="1" s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P81" i="1" s="1"/>
  <c r="R68" i="1"/>
  <c r="P82" i="1" s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P83" i="1" l="1"/>
  <c r="P87" i="1"/>
  <c r="P89" i="1" l="1"/>
  <c r="P90" i="1" s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<sst xmlns="http://schemas.openxmlformats.org/spreadsheetml/2006/main" count="61" uniqueCount="57">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</sst>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0"/>
      <color theme="5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-0.249977111117893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0"/>
      <color theme="3" tint="-0.24997711111789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5" tint="-0.499984740745262"/>
      <name val="Aptos Narrow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indexed="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0" fontId="0" fillId="5" borderId="0" xfId="0" applyFill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2" fillId="5" borderId="0" xfId="2" applyNumberFormat="1" applyFont="1" applyFill="1"/>
    <xf numFmtId="4" fontId="14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6" borderId="6" xfId="2" applyFont="1" applyFill="1" applyBorder="1" applyAlignment="1">
      <alignment horizontal="left"/>
    </xf>
    <xf numFmtId="4" fontId="16" fillId="6" borderId="6" xfId="7" applyNumberFormat="1" applyFont="1" applyFill="1" applyBorder="1" applyAlignment="1">
      <alignment horizontal="center"/>
    </xf>
    <xf numFmtId="4" fontId="7" fillId="6" borderId="6" xfId="7" applyNumberFormat="1" applyFont="1" applyFill="1" applyBorder="1" applyAlignment="1">
      <alignment horizontal="center"/>
    </xf>
    <xf numFmtId="4" fontId="17" fillId="6" borderId="7" xfId="7" applyNumberFormat="1" applyFont="1" applyFill="1" applyBorder="1" applyAlignment="1">
      <alignment horizontal="center"/>
    </xf>
    <xf numFmtId="0" fontId="17" fillId="7" borderId="8" xfId="2" applyFont="1" applyFill="1" applyBorder="1" applyAlignment="1">
      <alignment horizontal="left"/>
    </xf>
    <xf numFmtId="4" fontId="12" fillId="7" borderId="8" xfId="7" applyNumberFormat="1" applyFont="1" applyFill="1" applyBorder="1" applyAlignment="1">
      <alignment horizontal="center"/>
    </xf>
    <xf numFmtId="4" fontId="14" fillId="7" borderId="8" xfId="7" applyNumberFormat="1" applyFont="1" applyFill="1" applyBorder="1" applyAlignment="1">
      <alignment horizontal="center"/>
    </xf>
    <xf numFmtId="4" fontId="5" fillId="7" borderId="9" xfId="7" applyNumberFormat="1" applyFont="1" applyFill="1" applyBorder="1" applyAlignment="1">
      <alignment horizontal="center"/>
    </xf>
    <xf numFmtId="0" fontId="17" fillId="7" borderId="10" xfId="2" applyFont="1" applyFill="1" applyBorder="1" applyAlignment="1">
      <alignment horizontal="left"/>
    </xf>
    <xf numFmtId="4" fontId="12" fillId="7" borderId="10" xfId="2" applyNumberFormat="1" applyFont="1" applyFill="1" applyBorder="1" applyAlignment="1">
      <alignment horizontal="center"/>
    </xf>
    <xf numFmtId="4" fontId="14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8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4" fontId="5" fillId="0" borderId="0" xfId="1" applyNumberFormat="1" applyFont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0" borderId="13" xfId="2" applyFont="1" applyFill="1" applyBorder="1" applyAlignment="1">
      <alignment vertical="center"/>
    </xf>
    <xf numFmtId="4" fontId="21" fillId="10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D31E6737-4C4C-4501-AC77-E055CE19EC9C}"/>
    <cellStyle name="Normal 2 2 22" xfId="10" xr:uid="{91592B32-8686-4C83-AD15-1B5514BAD981}"/>
    <cellStyle name="Normal 84" xfId="5" xr:uid="{F3AF6E26-EF0C-4BC3-8708-A0D3CBAD88CA}"/>
    <cellStyle name="Normal 9 2" xfId="2" xr:uid="{37F373F6-E72D-4DDD-9719-CAD659D615C5}"/>
    <cellStyle name="Porcentagem 2" xfId="6" xr:uid="{8162F452-DB2D-4903-A174-E925C87F8E93}"/>
    <cellStyle name="Separador de milhares 10 2 2" xfId="8" xr:uid="{5042BFA9-1CB9-44D4-8906-A3E3FCDB82B7}"/>
    <cellStyle name="Separador de milhares 14 4" xfId="9" xr:uid="{FF5E15CA-00BC-4295-972F-18EB5763BA38}"/>
    <cellStyle name="Separador de milhares 22 2 2" xfId="7" xr:uid="{599C98FB-05AD-40C6-8002-CC5E8AF0112A}"/>
    <cellStyle name="Separador de milhares 22 4" xfId="11" xr:uid="{AAFA247E-0F55-4A1C-95A0-6AFC7B4B2226}"/>
    <cellStyle name="Vírgula 2 3 3" xfId="4" xr:uid="{C3CA0BA4-A002-43A2-AB99-EC631ABA5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184150</xdr:rowOff>
    </xdr:from>
    <xdr:to>
      <xdr:col>3</xdr:col>
      <xdr:colOff>457200</xdr:colOff>
      <xdr:row>4</xdr:row>
      <xdr:rowOff>44450</xdr:rowOff>
    </xdr:to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B5EF1A7F-D0F2-4072-9540-A9438578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551B35-310F-47B3-B53D-D30BB73F8EC3}"/>
            </a:ext>
          </a:extLst>
        </xdr:cNvPr>
        <xdr:cNvSpPr/>
      </xdr:nvSpPr>
      <xdr:spPr>
        <a:xfrm>
          <a:off x="155448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4516-ACC5-48F3-88CE-BCE2A1C8DC2F}">
  <dimension ref="A1:BD140"/>
  <sheetViews>
    <sheetView showGridLines="0" tabSelected="1" topLeftCell="A64" zoomScale="55" zoomScaleNormal="55" workbookViewId="0">
      <selection activeCell="I77" sqref="I77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26.9062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2.453125" style="3" bestFit="1" customWidth="1"/>
    <col min="266" max="266" width="16.54296875" style="3" bestFit="1" customWidth="1"/>
    <col min="267" max="267" width="18.54296875" style="3" bestFit="1" customWidth="1"/>
    <col min="268" max="268" width="15.453125" style="3" customWidth="1"/>
    <col min="269" max="269" width="29.453125" style="3" bestFit="1" customWidth="1"/>
    <col min="270" max="270" width="17.54296875" style="3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2.453125" style="3" bestFit="1" customWidth="1"/>
    <col min="522" max="522" width="16.54296875" style="3" bestFit="1" customWidth="1"/>
    <col min="523" max="523" width="18.54296875" style="3" bestFit="1" customWidth="1"/>
    <col min="524" max="524" width="15.453125" style="3" customWidth="1"/>
    <col min="525" max="525" width="29.453125" style="3" bestFit="1" customWidth="1"/>
    <col min="526" max="526" width="17.54296875" style="3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2.453125" style="3" bestFit="1" customWidth="1"/>
    <col min="778" max="778" width="16.54296875" style="3" bestFit="1" customWidth="1"/>
    <col min="779" max="779" width="18.54296875" style="3" bestFit="1" customWidth="1"/>
    <col min="780" max="780" width="15.453125" style="3" customWidth="1"/>
    <col min="781" max="781" width="29.453125" style="3" bestFit="1" customWidth="1"/>
    <col min="782" max="782" width="17.54296875" style="3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2.453125" style="3" bestFit="1" customWidth="1"/>
    <col min="1034" max="1034" width="16.54296875" style="3" bestFit="1" customWidth="1"/>
    <col min="1035" max="1035" width="18.54296875" style="3" bestFit="1" customWidth="1"/>
    <col min="1036" max="1036" width="15.453125" style="3" customWidth="1"/>
    <col min="1037" max="1037" width="29.453125" style="3" bestFit="1" customWidth="1"/>
    <col min="1038" max="1038" width="17.54296875" style="3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2.453125" style="3" bestFit="1" customWidth="1"/>
    <col min="1290" max="1290" width="16.54296875" style="3" bestFit="1" customWidth="1"/>
    <col min="1291" max="1291" width="18.54296875" style="3" bestFit="1" customWidth="1"/>
    <col min="1292" max="1292" width="15.453125" style="3" customWidth="1"/>
    <col min="1293" max="1293" width="29.453125" style="3" bestFit="1" customWidth="1"/>
    <col min="1294" max="1294" width="17.54296875" style="3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2.453125" style="3" bestFit="1" customWidth="1"/>
    <col min="1546" max="1546" width="16.54296875" style="3" bestFit="1" customWidth="1"/>
    <col min="1547" max="1547" width="18.54296875" style="3" bestFit="1" customWidth="1"/>
    <col min="1548" max="1548" width="15.453125" style="3" customWidth="1"/>
    <col min="1549" max="1549" width="29.453125" style="3" bestFit="1" customWidth="1"/>
    <col min="1550" max="1550" width="17.54296875" style="3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2.453125" style="3" bestFit="1" customWidth="1"/>
    <col min="1802" max="1802" width="16.54296875" style="3" bestFit="1" customWidth="1"/>
    <col min="1803" max="1803" width="18.54296875" style="3" bestFit="1" customWidth="1"/>
    <col min="1804" max="1804" width="15.453125" style="3" customWidth="1"/>
    <col min="1805" max="1805" width="29.453125" style="3" bestFit="1" customWidth="1"/>
    <col min="1806" max="1806" width="17.54296875" style="3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2.453125" style="3" bestFit="1" customWidth="1"/>
    <col min="2058" max="2058" width="16.54296875" style="3" bestFit="1" customWidth="1"/>
    <col min="2059" max="2059" width="18.54296875" style="3" bestFit="1" customWidth="1"/>
    <col min="2060" max="2060" width="15.453125" style="3" customWidth="1"/>
    <col min="2061" max="2061" width="29.453125" style="3" bestFit="1" customWidth="1"/>
    <col min="2062" max="2062" width="17.54296875" style="3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2.453125" style="3" bestFit="1" customWidth="1"/>
    <col min="2314" max="2314" width="16.54296875" style="3" bestFit="1" customWidth="1"/>
    <col min="2315" max="2315" width="18.54296875" style="3" bestFit="1" customWidth="1"/>
    <col min="2316" max="2316" width="15.453125" style="3" customWidth="1"/>
    <col min="2317" max="2317" width="29.453125" style="3" bestFit="1" customWidth="1"/>
    <col min="2318" max="2318" width="17.54296875" style="3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2.453125" style="3" bestFit="1" customWidth="1"/>
    <col min="2570" max="2570" width="16.54296875" style="3" bestFit="1" customWidth="1"/>
    <col min="2571" max="2571" width="18.54296875" style="3" bestFit="1" customWidth="1"/>
    <col min="2572" max="2572" width="15.453125" style="3" customWidth="1"/>
    <col min="2573" max="2573" width="29.453125" style="3" bestFit="1" customWidth="1"/>
    <col min="2574" max="2574" width="17.54296875" style="3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2.453125" style="3" bestFit="1" customWidth="1"/>
    <col min="2826" max="2826" width="16.54296875" style="3" bestFit="1" customWidth="1"/>
    <col min="2827" max="2827" width="18.54296875" style="3" bestFit="1" customWidth="1"/>
    <col min="2828" max="2828" width="15.453125" style="3" customWidth="1"/>
    <col min="2829" max="2829" width="29.453125" style="3" bestFit="1" customWidth="1"/>
    <col min="2830" max="2830" width="17.54296875" style="3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2.453125" style="3" bestFit="1" customWidth="1"/>
    <col min="3082" max="3082" width="16.54296875" style="3" bestFit="1" customWidth="1"/>
    <col min="3083" max="3083" width="18.54296875" style="3" bestFit="1" customWidth="1"/>
    <col min="3084" max="3084" width="15.453125" style="3" customWidth="1"/>
    <col min="3085" max="3085" width="29.453125" style="3" bestFit="1" customWidth="1"/>
    <col min="3086" max="3086" width="17.54296875" style="3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2.453125" style="3" bestFit="1" customWidth="1"/>
    <col min="3338" max="3338" width="16.54296875" style="3" bestFit="1" customWidth="1"/>
    <col min="3339" max="3339" width="18.54296875" style="3" bestFit="1" customWidth="1"/>
    <col min="3340" max="3340" width="15.453125" style="3" customWidth="1"/>
    <col min="3341" max="3341" width="29.453125" style="3" bestFit="1" customWidth="1"/>
    <col min="3342" max="3342" width="17.54296875" style="3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2.453125" style="3" bestFit="1" customWidth="1"/>
    <col min="3594" max="3594" width="16.54296875" style="3" bestFit="1" customWidth="1"/>
    <col min="3595" max="3595" width="18.54296875" style="3" bestFit="1" customWidth="1"/>
    <col min="3596" max="3596" width="15.453125" style="3" customWidth="1"/>
    <col min="3597" max="3597" width="29.453125" style="3" bestFit="1" customWidth="1"/>
    <col min="3598" max="3598" width="17.54296875" style="3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2.453125" style="3" bestFit="1" customWidth="1"/>
    <col min="3850" max="3850" width="16.54296875" style="3" bestFit="1" customWidth="1"/>
    <col min="3851" max="3851" width="18.54296875" style="3" bestFit="1" customWidth="1"/>
    <col min="3852" max="3852" width="15.453125" style="3" customWidth="1"/>
    <col min="3853" max="3853" width="29.453125" style="3" bestFit="1" customWidth="1"/>
    <col min="3854" max="3854" width="17.54296875" style="3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2.453125" style="3" bestFit="1" customWidth="1"/>
    <col min="4106" max="4106" width="16.54296875" style="3" bestFit="1" customWidth="1"/>
    <col min="4107" max="4107" width="18.54296875" style="3" bestFit="1" customWidth="1"/>
    <col min="4108" max="4108" width="15.453125" style="3" customWidth="1"/>
    <col min="4109" max="4109" width="29.453125" style="3" bestFit="1" customWidth="1"/>
    <col min="4110" max="4110" width="17.54296875" style="3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2.453125" style="3" bestFit="1" customWidth="1"/>
    <col min="4362" max="4362" width="16.54296875" style="3" bestFit="1" customWidth="1"/>
    <col min="4363" max="4363" width="18.54296875" style="3" bestFit="1" customWidth="1"/>
    <col min="4364" max="4364" width="15.453125" style="3" customWidth="1"/>
    <col min="4365" max="4365" width="29.453125" style="3" bestFit="1" customWidth="1"/>
    <col min="4366" max="4366" width="17.54296875" style="3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2.453125" style="3" bestFit="1" customWidth="1"/>
    <col min="4618" max="4618" width="16.54296875" style="3" bestFit="1" customWidth="1"/>
    <col min="4619" max="4619" width="18.54296875" style="3" bestFit="1" customWidth="1"/>
    <col min="4620" max="4620" width="15.453125" style="3" customWidth="1"/>
    <col min="4621" max="4621" width="29.453125" style="3" bestFit="1" customWidth="1"/>
    <col min="4622" max="4622" width="17.54296875" style="3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2.453125" style="3" bestFit="1" customWidth="1"/>
    <col min="4874" max="4874" width="16.54296875" style="3" bestFit="1" customWidth="1"/>
    <col min="4875" max="4875" width="18.54296875" style="3" bestFit="1" customWidth="1"/>
    <col min="4876" max="4876" width="15.453125" style="3" customWidth="1"/>
    <col min="4877" max="4877" width="29.453125" style="3" bestFit="1" customWidth="1"/>
    <col min="4878" max="4878" width="17.54296875" style="3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2.453125" style="3" bestFit="1" customWidth="1"/>
    <col min="5130" max="5130" width="16.54296875" style="3" bestFit="1" customWidth="1"/>
    <col min="5131" max="5131" width="18.54296875" style="3" bestFit="1" customWidth="1"/>
    <col min="5132" max="5132" width="15.453125" style="3" customWidth="1"/>
    <col min="5133" max="5133" width="29.453125" style="3" bestFit="1" customWidth="1"/>
    <col min="5134" max="5134" width="17.54296875" style="3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2.453125" style="3" bestFit="1" customWidth="1"/>
    <col min="5386" max="5386" width="16.54296875" style="3" bestFit="1" customWidth="1"/>
    <col min="5387" max="5387" width="18.54296875" style="3" bestFit="1" customWidth="1"/>
    <col min="5388" max="5388" width="15.453125" style="3" customWidth="1"/>
    <col min="5389" max="5389" width="29.453125" style="3" bestFit="1" customWidth="1"/>
    <col min="5390" max="5390" width="17.54296875" style="3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2.453125" style="3" bestFit="1" customWidth="1"/>
    <col min="5642" max="5642" width="16.54296875" style="3" bestFit="1" customWidth="1"/>
    <col min="5643" max="5643" width="18.54296875" style="3" bestFit="1" customWidth="1"/>
    <col min="5644" max="5644" width="15.453125" style="3" customWidth="1"/>
    <col min="5645" max="5645" width="29.453125" style="3" bestFit="1" customWidth="1"/>
    <col min="5646" max="5646" width="17.54296875" style="3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2.453125" style="3" bestFit="1" customWidth="1"/>
    <col min="5898" max="5898" width="16.54296875" style="3" bestFit="1" customWidth="1"/>
    <col min="5899" max="5899" width="18.54296875" style="3" bestFit="1" customWidth="1"/>
    <col min="5900" max="5900" width="15.453125" style="3" customWidth="1"/>
    <col min="5901" max="5901" width="29.453125" style="3" bestFit="1" customWidth="1"/>
    <col min="5902" max="5902" width="17.54296875" style="3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2.453125" style="3" bestFit="1" customWidth="1"/>
    <col min="6154" max="6154" width="16.54296875" style="3" bestFit="1" customWidth="1"/>
    <col min="6155" max="6155" width="18.54296875" style="3" bestFit="1" customWidth="1"/>
    <col min="6156" max="6156" width="15.453125" style="3" customWidth="1"/>
    <col min="6157" max="6157" width="29.453125" style="3" bestFit="1" customWidth="1"/>
    <col min="6158" max="6158" width="17.54296875" style="3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2.453125" style="3" bestFit="1" customWidth="1"/>
    <col min="6410" max="6410" width="16.54296875" style="3" bestFit="1" customWidth="1"/>
    <col min="6411" max="6411" width="18.54296875" style="3" bestFit="1" customWidth="1"/>
    <col min="6412" max="6412" width="15.453125" style="3" customWidth="1"/>
    <col min="6413" max="6413" width="29.453125" style="3" bestFit="1" customWidth="1"/>
    <col min="6414" max="6414" width="17.54296875" style="3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2.453125" style="3" bestFit="1" customWidth="1"/>
    <col min="6666" max="6666" width="16.54296875" style="3" bestFit="1" customWidth="1"/>
    <col min="6667" max="6667" width="18.54296875" style="3" bestFit="1" customWidth="1"/>
    <col min="6668" max="6668" width="15.453125" style="3" customWidth="1"/>
    <col min="6669" max="6669" width="29.453125" style="3" bestFit="1" customWidth="1"/>
    <col min="6670" max="6670" width="17.54296875" style="3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2.453125" style="3" bestFit="1" customWidth="1"/>
    <col min="6922" max="6922" width="16.54296875" style="3" bestFit="1" customWidth="1"/>
    <col min="6923" max="6923" width="18.54296875" style="3" bestFit="1" customWidth="1"/>
    <col min="6924" max="6924" width="15.453125" style="3" customWidth="1"/>
    <col min="6925" max="6925" width="29.453125" style="3" bestFit="1" customWidth="1"/>
    <col min="6926" max="6926" width="17.54296875" style="3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2.453125" style="3" bestFit="1" customWidth="1"/>
    <col min="7178" max="7178" width="16.54296875" style="3" bestFit="1" customWidth="1"/>
    <col min="7179" max="7179" width="18.54296875" style="3" bestFit="1" customWidth="1"/>
    <col min="7180" max="7180" width="15.453125" style="3" customWidth="1"/>
    <col min="7181" max="7181" width="29.453125" style="3" bestFit="1" customWidth="1"/>
    <col min="7182" max="7182" width="17.54296875" style="3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2.453125" style="3" bestFit="1" customWidth="1"/>
    <col min="7434" max="7434" width="16.54296875" style="3" bestFit="1" customWidth="1"/>
    <col min="7435" max="7435" width="18.54296875" style="3" bestFit="1" customWidth="1"/>
    <col min="7436" max="7436" width="15.453125" style="3" customWidth="1"/>
    <col min="7437" max="7437" width="29.453125" style="3" bestFit="1" customWidth="1"/>
    <col min="7438" max="7438" width="17.54296875" style="3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2.453125" style="3" bestFit="1" customWidth="1"/>
    <col min="7690" max="7690" width="16.54296875" style="3" bestFit="1" customWidth="1"/>
    <col min="7691" max="7691" width="18.54296875" style="3" bestFit="1" customWidth="1"/>
    <col min="7692" max="7692" width="15.453125" style="3" customWidth="1"/>
    <col min="7693" max="7693" width="29.453125" style="3" bestFit="1" customWidth="1"/>
    <col min="7694" max="7694" width="17.54296875" style="3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2.453125" style="3" bestFit="1" customWidth="1"/>
    <col min="7946" max="7946" width="16.54296875" style="3" bestFit="1" customWidth="1"/>
    <col min="7947" max="7947" width="18.54296875" style="3" bestFit="1" customWidth="1"/>
    <col min="7948" max="7948" width="15.453125" style="3" customWidth="1"/>
    <col min="7949" max="7949" width="29.453125" style="3" bestFit="1" customWidth="1"/>
    <col min="7950" max="7950" width="17.54296875" style="3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2.453125" style="3" bestFit="1" customWidth="1"/>
    <col min="8202" max="8202" width="16.54296875" style="3" bestFit="1" customWidth="1"/>
    <col min="8203" max="8203" width="18.54296875" style="3" bestFit="1" customWidth="1"/>
    <col min="8204" max="8204" width="15.453125" style="3" customWidth="1"/>
    <col min="8205" max="8205" width="29.453125" style="3" bestFit="1" customWidth="1"/>
    <col min="8206" max="8206" width="17.54296875" style="3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2.453125" style="3" bestFit="1" customWidth="1"/>
    <col min="8458" max="8458" width="16.54296875" style="3" bestFit="1" customWidth="1"/>
    <col min="8459" max="8459" width="18.54296875" style="3" bestFit="1" customWidth="1"/>
    <col min="8460" max="8460" width="15.453125" style="3" customWidth="1"/>
    <col min="8461" max="8461" width="29.453125" style="3" bestFit="1" customWidth="1"/>
    <col min="8462" max="8462" width="17.54296875" style="3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2.453125" style="3" bestFit="1" customWidth="1"/>
    <col min="8714" max="8714" width="16.54296875" style="3" bestFit="1" customWidth="1"/>
    <col min="8715" max="8715" width="18.54296875" style="3" bestFit="1" customWidth="1"/>
    <col min="8716" max="8716" width="15.453125" style="3" customWidth="1"/>
    <col min="8717" max="8717" width="29.453125" style="3" bestFit="1" customWidth="1"/>
    <col min="8718" max="8718" width="17.54296875" style="3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2.453125" style="3" bestFit="1" customWidth="1"/>
    <col min="8970" max="8970" width="16.54296875" style="3" bestFit="1" customWidth="1"/>
    <col min="8971" max="8971" width="18.54296875" style="3" bestFit="1" customWidth="1"/>
    <col min="8972" max="8972" width="15.453125" style="3" customWidth="1"/>
    <col min="8973" max="8973" width="29.453125" style="3" bestFit="1" customWidth="1"/>
    <col min="8974" max="8974" width="17.54296875" style="3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2.453125" style="3" bestFit="1" customWidth="1"/>
    <col min="9226" max="9226" width="16.54296875" style="3" bestFit="1" customWidth="1"/>
    <col min="9227" max="9227" width="18.54296875" style="3" bestFit="1" customWidth="1"/>
    <col min="9228" max="9228" width="15.453125" style="3" customWidth="1"/>
    <col min="9229" max="9229" width="29.453125" style="3" bestFit="1" customWidth="1"/>
    <col min="9230" max="9230" width="17.54296875" style="3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2.453125" style="3" bestFit="1" customWidth="1"/>
    <col min="9482" max="9482" width="16.54296875" style="3" bestFit="1" customWidth="1"/>
    <col min="9483" max="9483" width="18.54296875" style="3" bestFit="1" customWidth="1"/>
    <col min="9484" max="9484" width="15.453125" style="3" customWidth="1"/>
    <col min="9485" max="9485" width="29.453125" style="3" bestFit="1" customWidth="1"/>
    <col min="9486" max="9486" width="17.54296875" style="3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2.453125" style="3" bestFit="1" customWidth="1"/>
    <col min="9738" max="9738" width="16.54296875" style="3" bestFit="1" customWidth="1"/>
    <col min="9739" max="9739" width="18.54296875" style="3" bestFit="1" customWidth="1"/>
    <col min="9740" max="9740" width="15.453125" style="3" customWidth="1"/>
    <col min="9741" max="9741" width="29.453125" style="3" bestFit="1" customWidth="1"/>
    <col min="9742" max="9742" width="17.54296875" style="3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2.453125" style="3" bestFit="1" customWidth="1"/>
    <col min="9994" max="9994" width="16.54296875" style="3" bestFit="1" customWidth="1"/>
    <col min="9995" max="9995" width="18.54296875" style="3" bestFit="1" customWidth="1"/>
    <col min="9996" max="9996" width="15.453125" style="3" customWidth="1"/>
    <col min="9997" max="9997" width="29.453125" style="3" bestFit="1" customWidth="1"/>
    <col min="9998" max="9998" width="17.54296875" style="3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2.453125" style="3" bestFit="1" customWidth="1"/>
    <col min="10250" max="10250" width="16.54296875" style="3" bestFit="1" customWidth="1"/>
    <col min="10251" max="10251" width="18.54296875" style="3" bestFit="1" customWidth="1"/>
    <col min="10252" max="10252" width="15.453125" style="3" customWidth="1"/>
    <col min="10253" max="10253" width="29.453125" style="3" bestFit="1" customWidth="1"/>
    <col min="10254" max="10254" width="17.54296875" style="3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2.453125" style="3" bestFit="1" customWidth="1"/>
    <col min="10506" max="10506" width="16.54296875" style="3" bestFit="1" customWidth="1"/>
    <col min="10507" max="10507" width="18.54296875" style="3" bestFit="1" customWidth="1"/>
    <col min="10508" max="10508" width="15.453125" style="3" customWidth="1"/>
    <col min="10509" max="10509" width="29.453125" style="3" bestFit="1" customWidth="1"/>
    <col min="10510" max="10510" width="17.54296875" style="3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2.453125" style="3" bestFit="1" customWidth="1"/>
    <col min="10762" max="10762" width="16.54296875" style="3" bestFit="1" customWidth="1"/>
    <col min="10763" max="10763" width="18.54296875" style="3" bestFit="1" customWidth="1"/>
    <col min="10764" max="10764" width="15.453125" style="3" customWidth="1"/>
    <col min="10765" max="10765" width="29.453125" style="3" bestFit="1" customWidth="1"/>
    <col min="10766" max="10766" width="17.54296875" style="3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2.453125" style="3" bestFit="1" customWidth="1"/>
    <col min="11018" max="11018" width="16.54296875" style="3" bestFit="1" customWidth="1"/>
    <col min="11019" max="11019" width="18.54296875" style="3" bestFit="1" customWidth="1"/>
    <col min="11020" max="11020" width="15.453125" style="3" customWidth="1"/>
    <col min="11021" max="11021" width="29.453125" style="3" bestFit="1" customWidth="1"/>
    <col min="11022" max="11022" width="17.54296875" style="3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2.453125" style="3" bestFit="1" customWidth="1"/>
    <col min="11274" max="11274" width="16.54296875" style="3" bestFit="1" customWidth="1"/>
    <col min="11275" max="11275" width="18.54296875" style="3" bestFit="1" customWidth="1"/>
    <col min="11276" max="11276" width="15.453125" style="3" customWidth="1"/>
    <col min="11277" max="11277" width="29.453125" style="3" bestFit="1" customWidth="1"/>
    <col min="11278" max="11278" width="17.54296875" style="3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2.453125" style="3" bestFit="1" customWidth="1"/>
    <col min="11530" max="11530" width="16.54296875" style="3" bestFit="1" customWidth="1"/>
    <col min="11531" max="11531" width="18.54296875" style="3" bestFit="1" customWidth="1"/>
    <col min="11532" max="11532" width="15.453125" style="3" customWidth="1"/>
    <col min="11533" max="11533" width="29.453125" style="3" bestFit="1" customWidth="1"/>
    <col min="11534" max="11534" width="17.54296875" style="3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2.453125" style="3" bestFit="1" customWidth="1"/>
    <col min="11786" max="11786" width="16.54296875" style="3" bestFit="1" customWidth="1"/>
    <col min="11787" max="11787" width="18.54296875" style="3" bestFit="1" customWidth="1"/>
    <col min="11788" max="11788" width="15.453125" style="3" customWidth="1"/>
    <col min="11789" max="11789" width="29.453125" style="3" bestFit="1" customWidth="1"/>
    <col min="11790" max="11790" width="17.54296875" style="3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2.453125" style="3" bestFit="1" customWidth="1"/>
    <col min="12042" max="12042" width="16.54296875" style="3" bestFit="1" customWidth="1"/>
    <col min="12043" max="12043" width="18.54296875" style="3" bestFit="1" customWidth="1"/>
    <col min="12044" max="12044" width="15.453125" style="3" customWidth="1"/>
    <col min="12045" max="12045" width="29.453125" style="3" bestFit="1" customWidth="1"/>
    <col min="12046" max="12046" width="17.54296875" style="3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2.453125" style="3" bestFit="1" customWidth="1"/>
    <col min="12298" max="12298" width="16.54296875" style="3" bestFit="1" customWidth="1"/>
    <col min="12299" max="12299" width="18.54296875" style="3" bestFit="1" customWidth="1"/>
    <col min="12300" max="12300" width="15.453125" style="3" customWidth="1"/>
    <col min="12301" max="12301" width="29.453125" style="3" bestFit="1" customWidth="1"/>
    <col min="12302" max="12302" width="17.54296875" style="3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2.453125" style="3" bestFit="1" customWidth="1"/>
    <col min="12554" max="12554" width="16.54296875" style="3" bestFit="1" customWidth="1"/>
    <col min="12555" max="12555" width="18.54296875" style="3" bestFit="1" customWidth="1"/>
    <col min="12556" max="12556" width="15.453125" style="3" customWidth="1"/>
    <col min="12557" max="12557" width="29.453125" style="3" bestFit="1" customWidth="1"/>
    <col min="12558" max="12558" width="17.54296875" style="3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2.453125" style="3" bestFit="1" customWidth="1"/>
    <col min="12810" max="12810" width="16.54296875" style="3" bestFit="1" customWidth="1"/>
    <col min="12811" max="12811" width="18.54296875" style="3" bestFit="1" customWidth="1"/>
    <col min="12812" max="12812" width="15.453125" style="3" customWidth="1"/>
    <col min="12813" max="12813" width="29.453125" style="3" bestFit="1" customWidth="1"/>
    <col min="12814" max="12814" width="17.54296875" style="3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2.453125" style="3" bestFit="1" customWidth="1"/>
    <col min="13066" max="13066" width="16.54296875" style="3" bestFit="1" customWidth="1"/>
    <col min="13067" max="13067" width="18.54296875" style="3" bestFit="1" customWidth="1"/>
    <col min="13068" max="13068" width="15.453125" style="3" customWidth="1"/>
    <col min="13069" max="13069" width="29.453125" style="3" bestFit="1" customWidth="1"/>
    <col min="13070" max="13070" width="17.54296875" style="3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2.453125" style="3" bestFit="1" customWidth="1"/>
    <col min="13322" max="13322" width="16.54296875" style="3" bestFit="1" customWidth="1"/>
    <col min="13323" max="13323" width="18.54296875" style="3" bestFit="1" customWidth="1"/>
    <col min="13324" max="13324" width="15.453125" style="3" customWidth="1"/>
    <col min="13325" max="13325" width="29.453125" style="3" bestFit="1" customWidth="1"/>
    <col min="13326" max="13326" width="17.54296875" style="3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2.453125" style="3" bestFit="1" customWidth="1"/>
    <col min="13578" max="13578" width="16.54296875" style="3" bestFit="1" customWidth="1"/>
    <col min="13579" max="13579" width="18.54296875" style="3" bestFit="1" customWidth="1"/>
    <col min="13580" max="13580" width="15.453125" style="3" customWidth="1"/>
    <col min="13581" max="13581" width="29.453125" style="3" bestFit="1" customWidth="1"/>
    <col min="13582" max="13582" width="17.54296875" style="3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2.453125" style="3" bestFit="1" customWidth="1"/>
    <col min="13834" max="13834" width="16.54296875" style="3" bestFit="1" customWidth="1"/>
    <col min="13835" max="13835" width="18.54296875" style="3" bestFit="1" customWidth="1"/>
    <col min="13836" max="13836" width="15.453125" style="3" customWidth="1"/>
    <col min="13837" max="13837" width="29.453125" style="3" bestFit="1" customWidth="1"/>
    <col min="13838" max="13838" width="17.54296875" style="3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2.453125" style="3" bestFit="1" customWidth="1"/>
    <col min="14090" max="14090" width="16.54296875" style="3" bestFit="1" customWidth="1"/>
    <col min="14091" max="14091" width="18.54296875" style="3" bestFit="1" customWidth="1"/>
    <col min="14092" max="14092" width="15.453125" style="3" customWidth="1"/>
    <col min="14093" max="14093" width="29.453125" style="3" bestFit="1" customWidth="1"/>
    <col min="14094" max="14094" width="17.54296875" style="3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2.453125" style="3" bestFit="1" customWidth="1"/>
    <col min="14346" max="14346" width="16.54296875" style="3" bestFit="1" customWidth="1"/>
    <col min="14347" max="14347" width="18.54296875" style="3" bestFit="1" customWidth="1"/>
    <col min="14348" max="14348" width="15.453125" style="3" customWidth="1"/>
    <col min="14349" max="14349" width="29.453125" style="3" bestFit="1" customWidth="1"/>
    <col min="14350" max="14350" width="17.54296875" style="3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2.453125" style="3" bestFit="1" customWidth="1"/>
    <col min="14602" max="14602" width="16.54296875" style="3" bestFit="1" customWidth="1"/>
    <col min="14603" max="14603" width="18.54296875" style="3" bestFit="1" customWidth="1"/>
    <col min="14604" max="14604" width="15.453125" style="3" customWidth="1"/>
    <col min="14605" max="14605" width="29.453125" style="3" bestFit="1" customWidth="1"/>
    <col min="14606" max="14606" width="17.54296875" style="3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2.453125" style="3" bestFit="1" customWidth="1"/>
    <col min="14858" max="14858" width="16.54296875" style="3" bestFit="1" customWidth="1"/>
    <col min="14859" max="14859" width="18.54296875" style="3" bestFit="1" customWidth="1"/>
    <col min="14860" max="14860" width="15.453125" style="3" customWidth="1"/>
    <col min="14861" max="14861" width="29.453125" style="3" bestFit="1" customWidth="1"/>
    <col min="14862" max="14862" width="17.54296875" style="3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2.453125" style="3" bestFit="1" customWidth="1"/>
    <col min="15114" max="15114" width="16.54296875" style="3" bestFit="1" customWidth="1"/>
    <col min="15115" max="15115" width="18.54296875" style="3" bestFit="1" customWidth="1"/>
    <col min="15116" max="15116" width="15.453125" style="3" customWidth="1"/>
    <col min="15117" max="15117" width="29.453125" style="3" bestFit="1" customWidth="1"/>
    <col min="15118" max="15118" width="17.54296875" style="3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2.453125" style="3" bestFit="1" customWidth="1"/>
    <col min="15370" max="15370" width="16.54296875" style="3" bestFit="1" customWidth="1"/>
    <col min="15371" max="15371" width="18.54296875" style="3" bestFit="1" customWidth="1"/>
    <col min="15372" max="15372" width="15.453125" style="3" customWidth="1"/>
    <col min="15373" max="15373" width="29.453125" style="3" bestFit="1" customWidth="1"/>
    <col min="15374" max="15374" width="17.54296875" style="3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2.453125" style="3" bestFit="1" customWidth="1"/>
    <col min="15626" max="15626" width="16.54296875" style="3" bestFit="1" customWidth="1"/>
    <col min="15627" max="15627" width="18.54296875" style="3" bestFit="1" customWidth="1"/>
    <col min="15628" max="15628" width="15.453125" style="3" customWidth="1"/>
    <col min="15629" max="15629" width="29.453125" style="3" bestFit="1" customWidth="1"/>
    <col min="15630" max="15630" width="17.54296875" style="3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2.453125" style="3" bestFit="1" customWidth="1"/>
    <col min="15882" max="15882" width="16.54296875" style="3" bestFit="1" customWidth="1"/>
    <col min="15883" max="15883" width="18.54296875" style="3" bestFit="1" customWidth="1"/>
    <col min="15884" max="15884" width="15.453125" style="3" customWidth="1"/>
    <col min="15885" max="15885" width="29.453125" style="3" bestFit="1" customWidth="1"/>
    <col min="15886" max="15886" width="17.54296875" style="3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2.453125" style="3" bestFit="1" customWidth="1"/>
    <col min="16138" max="16138" width="16.54296875" style="3" bestFit="1" customWidth="1"/>
    <col min="16139" max="16139" width="18.54296875" style="3" bestFit="1" customWidth="1"/>
    <col min="16140" max="16140" width="15.453125" style="3" customWidth="1"/>
    <col min="16141" max="16141" width="29.453125" style="3" bestFit="1" customWidth="1"/>
    <col min="16142" max="16142" width="17.54296875" style="3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>
        <v>46203</v>
      </c>
      <c r="M2" s="5" t="s">
        <v>1</v>
      </c>
      <c r="N2" s="5">
        <v>202605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22">
        <v>1531.9399999999989</v>
      </c>
      <c r="E9"/>
      <c r="F9"/>
      <c r="G9"/>
      <c r="H9" s="14"/>
      <c r="I9"/>
      <c r="J9" s="15"/>
      <c r="K9" s="15"/>
      <c r="L9" s="15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16">
        <v>-2009.07</v>
      </c>
      <c r="AB9" s="16"/>
      <c r="AC9" s="16"/>
      <c r="AD9" s="16"/>
      <c r="AE9" s="25"/>
      <c r="AF9" s="25"/>
      <c r="AG9" s="25"/>
      <c r="AH9" s="16"/>
      <c r="AI9" s="16"/>
      <c r="AJ9" s="16"/>
      <c r="AK9" s="26"/>
      <c r="BC9" s="3"/>
    </row>
    <row r="10" spans="1:56" ht="14.5" x14ac:dyDescent="0.35">
      <c r="A10" s="13">
        <v>20</v>
      </c>
      <c r="C10" s="3">
        <v>29.980000000000004</v>
      </c>
      <c r="D10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>
        <v>-1160.19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C11" s="3">
        <v>296.98</v>
      </c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3">
        <v>-11.25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4.5" x14ac:dyDescent="0.35">
      <c r="A12" s="13">
        <v>30</v>
      </c>
      <c r="B12" s="18"/>
      <c r="C12" s="3">
        <v>2143.2800000000007</v>
      </c>
      <c r="E12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>
        <v>-6327.19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C16" s="3">
        <v>0.01</v>
      </c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4.5" x14ac:dyDescent="0.35">
      <c r="A17" s="13">
        <v>39</v>
      </c>
      <c r="B17" s="18"/>
      <c r="D17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4.5" x14ac:dyDescent="0.35">
      <c r="A18" s="13">
        <v>44</v>
      </c>
      <c r="B18" s="18"/>
      <c r="C18">
        <v>0.31000000000000005</v>
      </c>
      <c r="D18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4.5" x14ac:dyDescent="0.35">
      <c r="A19" s="13">
        <v>45</v>
      </c>
      <c r="B19" s="18"/>
      <c r="C19"/>
      <c r="D19"/>
      <c r="E19"/>
      <c r="F19"/>
      <c r="G19"/>
      <c r="H19" s="15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4.5" x14ac:dyDescent="0.35">
      <c r="A20" s="13">
        <v>50</v>
      </c>
      <c r="B20" s="18"/>
      <c r="C20" s="3">
        <v>1.7</v>
      </c>
      <c r="D20"/>
      <c r="E20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3">
        <v>-234.47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4.5" x14ac:dyDescent="0.35">
      <c r="A22" s="13">
        <v>60</v>
      </c>
      <c r="B22" s="18"/>
      <c r="C22" s="22">
        <v>169.84999999999994</v>
      </c>
      <c r="D22"/>
      <c r="E22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3">
        <v>-12.84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4.5" x14ac:dyDescent="0.35">
      <c r="A23" s="13">
        <v>64</v>
      </c>
      <c r="B23" s="18"/>
      <c r="C23"/>
      <c r="D23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4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4.5" x14ac:dyDescent="0.35">
      <c r="A24" s="13">
        <v>66</v>
      </c>
      <c r="B24" s="18"/>
      <c r="C24"/>
      <c r="D24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4.5" x14ac:dyDescent="0.35">
      <c r="A25" s="13">
        <v>68</v>
      </c>
      <c r="B25" s="18"/>
      <c r="C25"/>
      <c r="D2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4.5" x14ac:dyDescent="0.35">
      <c r="A26" s="13">
        <v>70</v>
      </c>
      <c r="B26" s="18"/>
      <c r="C26"/>
      <c r="D26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3">
        <v>-10.77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4.5" x14ac:dyDescent="0.35">
      <c r="A27" s="13">
        <v>78</v>
      </c>
      <c r="B27" s="18"/>
      <c r="C27"/>
      <c r="D27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4.5" x14ac:dyDescent="0.35">
      <c r="A28" s="13">
        <v>452</v>
      </c>
      <c r="B28" s="18"/>
      <c r="C28"/>
      <c r="D28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4.5" x14ac:dyDescent="0.35">
      <c r="A29" s="13">
        <v>453</v>
      </c>
      <c r="B29" s="14"/>
      <c r="C29"/>
      <c r="D29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4.5" x14ac:dyDescent="0.35">
      <c r="A30" s="13">
        <v>454</v>
      </c>
      <c r="B30" s="14"/>
      <c r="D30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4.5" x14ac:dyDescent="0.35">
      <c r="A31" s="13">
        <v>455</v>
      </c>
      <c r="B31" s="14"/>
      <c r="C31"/>
      <c r="D31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4.5" x14ac:dyDescent="0.35">
      <c r="A32" s="13">
        <v>456</v>
      </c>
      <c r="B32" s="14"/>
      <c r="C32"/>
      <c r="D32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4.5" x14ac:dyDescent="0.35">
      <c r="A33" s="13">
        <v>457</v>
      </c>
      <c r="B33" s="14"/>
      <c r="C33"/>
      <c r="D33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4.5" x14ac:dyDescent="0.35">
      <c r="A34" s="27">
        <v>11</v>
      </c>
      <c r="B34" s="28"/>
      <c r="C34"/>
      <c r="D34"/>
      <c r="E34" s="28">
        <v>1.62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>
        <v>819.75</v>
      </c>
      <c r="R34" s="28"/>
      <c r="S34" s="28">
        <v>4036.74</v>
      </c>
      <c r="T34" s="28"/>
      <c r="U34" s="28"/>
      <c r="V34" s="28"/>
      <c r="W34" s="28"/>
      <c r="X34" s="28"/>
      <c r="Y34" s="28"/>
      <c r="Z34" s="28"/>
      <c r="AA34" s="29">
        <v>-3423.89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BC34" s="3"/>
    </row>
    <row r="35" spans="1:55" ht="14.5" x14ac:dyDescent="0.35">
      <c r="A35" s="31">
        <v>916</v>
      </c>
      <c r="B35" s="28"/>
      <c r="C35"/>
      <c r="D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BC35" s="3"/>
    </row>
    <row r="36" spans="1:55" ht="14.5" x14ac:dyDescent="0.35">
      <c r="A36" s="13">
        <v>921</v>
      </c>
      <c r="B36" s="14"/>
      <c r="C36"/>
      <c r="D3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4.5" x14ac:dyDescent="0.35">
      <c r="A37" s="13">
        <v>927</v>
      </c>
      <c r="B37" s="14"/>
      <c r="C37"/>
      <c r="D3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4.5" x14ac:dyDescent="0.35">
      <c r="A38" s="13">
        <v>928</v>
      </c>
      <c r="B38" s="14"/>
      <c r="C38"/>
      <c r="D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4.5" x14ac:dyDescent="0.35">
      <c r="A39" s="13">
        <v>931</v>
      </c>
      <c r="B39" s="14"/>
      <c r="C39"/>
      <c r="D3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4.5" x14ac:dyDescent="0.35">
      <c r="A40" s="13">
        <v>934</v>
      </c>
      <c r="B40" s="14"/>
      <c r="C40"/>
      <c r="D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4.5" x14ac:dyDescent="0.35">
      <c r="A41" s="13">
        <v>941</v>
      </c>
      <c r="B41" s="14"/>
      <c r="C41"/>
      <c r="D4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4.5" x14ac:dyDescent="0.35">
      <c r="A42" s="13">
        <v>943</v>
      </c>
      <c r="B42" s="14"/>
      <c r="C42"/>
      <c r="D4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4.5" x14ac:dyDescent="0.35">
      <c r="A43" s="13">
        <v>948</v>
      </c>
      <c r="B43" s="14"/>
      <c r="C43"/>
      <c r="D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4.5" x14ac:dyDescent="0.35">
      <c r="A44" s="13">
        <v>951</v>
      </c>
      <c r="B44" s="14"/>
      <c r="C44"/>
      <c r="D4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4.5" x14ac:dyDescent="0.35">
      <c r="A45" s="13">
        <v>953</v>
      </c>
      <c r="B45" s="14"/>
      <c r="C45"/>
      <c r="D4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4.5" x14ac:dyDescent="0.35">
      <c r="A46" s="13">
        <v>960</v>
      </c>
      <c r="B46" s="14"/>
      <c r="C46"/>
      <c r="D4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4.5" x14ac:dyDescent="0.35">
      <c r="A47" s="13">
        <v>961</v>
      </c>
      <c r="B47" s="14"/>
      <c r="C47"/>
      <c r="D4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4.5" x14ac:dyDescent="0.35">
      <c r="A48" s="13">
        <v>963</v>
      </c>
      <c r="B48" s="14"/>
      <c r="C48"/>
      <c r="D4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4.5" x14ac:dyDescent="0.35">
      <c r="A49" s="13">
        <v>964</v>
      </c>
      <c r="B49" s="14"/>
      <c r="C49"/>
      <c r="D4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4.5" x14ac:dyDescent="0.35">
      <c r="A50" s="13">
        <v>965</v>
      </c>
      <c r="B50" s="14"/>
      <c r="C50"/>
      <c r="D5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4.5" x14ac:dyDescent="0.35">
      <c r="A51" s="13">
        <v>966</v>
      </c>
      <c r="B51" s="14"/>
      <c r="C51"/>
      <c r="D5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4.5" x14ac:dyDescent="0.35">
      <c r="A52" s="13">
        <v>967</v>
      </c>
      <c r="B52" s="14"/>
      <c r="C52"/>
      <c r="D5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4.5" x14ac:dyDescent="0.35">
      <c r="A53" s="13">
        <v>968</v>
      </c>
      <c r="B53" s="14"/>
      <c r="C53"/>
      <c r="D5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4.5" x14ac:dyDescent="0.35">
      <c r="A54" s="13">
        <v>969</v>
      </c>
      <c r="B54" s="14"/>
      <c r="C54"/>
      <c r="D5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4.5" x14ac:dyDescent="0.35">
      <c r="A55" s="13">
        <v>971</v>
      </c>
      <c r="B55" s="14"/>
      <c r="C55"/>
      <c r="D5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4.5" x14ac:dyDescent="0.35">
      <c r="A56" s="13">
        <v>979</v>
      </c>
      <c r="B56" s="14"/>
      <c r="C56"/>
      <c r="D5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4.5" x14ac:dyDescent="0.35">
      <c r="A57" s="13">
        <v>981</v>
      </c>
      <c r="B57" s="14"/>
      <c r="C57"/>
      <c r="D5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5">
      <c r="A58" s="13">
        <v>982</v>
      </c>
      <c r="B58" s="14"/>
      <c r="C58"/>
      <c r="D5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4.5" x14ac:dyDescent="0.35">
      <c r="A59" s="13">
        <v>983</v>
      </c>
      <c r="B59" s="14"/>
      <c r="C59"/>
      <c r="D5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4.5" x14ac:dyDescent="0.35">
      <c r="A60" s="13">
        <v>984</v>
      </c>
      <c r="B60" s="14"/>
      <c r="C60"/>
      <c r="D6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4.5" x14ac:dyDescent="0.35">
      <c r="A61" s="13">
        <v>985</v>
      </c>
      <c r="B61" s="14"/>
      <c r="C61"/>
      <c r="D6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4.5" x14ac:dyDescent="0.35">
      <c r="A62" s="13">
        <v>986</v>
      </c>
      <c r="B62" s="14"/>
      <c r="C62"/>
      <c r="D6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4.5" x14ac:dyDescent="0.35">
      <c r="A63" s="13">
        <v>991</v>
      </c>
      <c r="B63" s="14"/>
      <c r="C63"/>
      <c r="D6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4.5" x14ac:dyDescent="0.35">
      <c r="A64" s="13">
        <v>992</v>
      </c>
      <c r="B64" s="14"/>
      <c r="C64"/>
      <c r="D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4.5" x14ac:dyDescent="0.35">
      <c r="A65" s="13">
        <v>995</v>
      </c>
      <c r="B65" s="14"/>
      <c r="C65"/>
      <c r="D6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4.5" x14ac:dyDescent="0.35">
      <c r="A66" s="13">
        <v>996</v>
      </c>
      <c r="B66" s="14"/>
      <c r="C66"/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5" thickBot="1" x14ac:dyDescent="0.4">
      <c r="A67" s="33">
        <v>998</v>
      </c>
      <c r="B67" s="34"/>
      <c r="C67"/>
      <c r="D67"/>
      <c r="E67" s="14"/>
      <c r="F67" s="14"/>
      <c r="G67" s="1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  <c r="AB67" s="16"/>
      <c r="AC67" s="35"/>
      <c r="AD67" s="35"/>
      <c r="AE67" s="35"/>
      <c r="AF67" s="35"/>
      <c r="AG67" s="35"/>
      <c r="AH67" s="16"/>
      <c r="AI67" s="16"/>
      <c r="AJ67" s="16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 t="shared" ref="C68:AK68" si="0">SUM(C7:C67)</f>
        <v>4174.0499999999993</v>
      </c>
      <c r="D68" s="38">
        <f>SUM(D7:D67)</f>
        <v>0</v>
      </c>
      <c r="E68" s="38">
        <f>SUM(E7:E67)</f>
        <v>1.62</v>
      </c>
      <c r="F68" s="38">
        <f>SUM(F7:F67)</f>
        <v>0</v>
      </c>
      <c r="G68" s="38">
        <f>SUM(G7:G67)</f>
        <v>0</v>
      </c>
      <c r="H68" s="38">
        <f>SUM(H7:H67)</f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819.75</v>
      </c>
      <c r="R68" s="38">
        <f t="shared" si="0"/>
        <v>0</v>
      </c>
      <c r="S68" s="38">
        <f t="shared" si="0"/>
        <v>4036.74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 t="shared" si="0"/>
        <v>0</v>
      </c>
      <c r="Z68" s="38">
        <f t="shared" si="0"/>
        <v>0</v>
      </c>
      <c r="AA68" s="39">
        <f t="shared" si="0"/>
        <v>-13189.67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 t="shared" si="1"/>
        <v>4174.0499999999993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 t="shared" si="1"/>
        <v>0</v>
      </c>
      <c r="Z69" s="42">
        <f t="shared" si="1"/>
        <v>0</v>
      </c>
      <c r="AA69" s="43">
        <f t="shared" si="1"/>
        <v>-9765.7800000000007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 t="shared" ref="B70:AK70" si="2">B34+B35</f>
        <v>0</v>
      </c>
      <c r="C70" s="46">
        <f t="shared" si="2"/>
        <v>0</v>
      </c>
      <c r="D70" s="46">
        <f t="shared" si="2"/>
        <v>0</v>
      </c>
      <c r="E70" s="46">
        <f t="shared" si="2"/>
        <v>1.62</v>
      </c>
      <c r="F70" s="46">
        <f t="shared" si="2"/>
        <v>0</v>
      </c>
      <c r="G70" s="46">
        <f t="shared" si="2"/>
        <v>0</v>
      </c>
      <c r="H70" s="46">
        <f t="shared" si="2"/>
        <v>0</v>
      </c>
      <c r="I70" s="46">
        <f t="shared" si="2"/>
        <v>0</v>
      </c>
      <c r="J70" s="46">
        <f t="shared" si="2"/>
        <v>0</v>
      </c>
      <c r="K70" s="46">
        <f t="shared" si="2"/>
        <v>0</v>
      </c>
      <c r="L70" s="46">
        <f t="shared" si="2"/>
        <v>0</v>
      </c>
      <c r="M70" s="46">
        <f t="shared" si="2"/>
        <v>0</v>
      </c>
      <c r="N70" s="46">
        <f t="shared" si="2"/>
        <v>0</v>
      </c>
      <c r="O70" s="46">
        <f t="shared" si="2"/>
        <v>0</v>
      </c>
      <c r="P70" s="46">
        <f t="shared" si="2"/>
        <v>0</v>
      </c>
      <c r="Q70" s="46">
        <f t="shared" si="2"/>
        <v>819.75</v>
      </c>
      <c r="R70" s="46">
        <f t="shared" si="2"/>
        <v>0</v>
      </c>
      <c r="S70" s="46">
        <f t="shared" si="2"/>
        <v>4036.74</v>
      </c>
      <c r="T70" s="46">
        <f t="shared" si="2"/>
        <v>0</v>
      </c>
      <c r="U70" s="46">
        <f t="shared" si="2"/>
        <v>0</v>
      </c>
      <c r="V70" s="46">
        <f t="shared" si="2"/>
        <v>0</v>
      </c>
      <c r="W70" s="46">
        <f t="shared" si="2"/>
        <v>0</v>
      </c>
      <c r="X70" s="46">
        <f t="shared" si="2"/>
        <v>0</v>
      </c>
      <c r="Y70" s="46">
        <f t="shared" si="2"/>
        <v>0</v>
      </c>
      <c r="Z70" s="46">
        <f t="shared" si="2"/>
        <v>0</v>
      </c>
      <c r="AA70" s="47">
        <f t="shared" si="2"/>
        <v>-3423.89</v>
      </c>
      <c r="AB70" s="47">
        <f t="shared" si="2"/>
        <v>0</v>
      </c>
      <c r="AC70" s="47">
        <f t="shared" si="2"/>
        <v>0</v>
      </c>
      <c r="AD70" s="47">
        <f t="shared" si="2"/>
        <v>0</v>
      </c>
      <c r="AE70" s="47">
        <f t="shared" si="2"/>
        <v>0</v>
      </c>
      <c r="AF70" s="47">
        <f t="shared" si="2"/>
        <v>0</v>
      </c>
      <c r="AG70" s="47">
        <f t="shared" si="2"/>
        <v>0</v>
      </c>
      <c r="AH70" s="47">
        <f t="shared" si="2"/>
        <v>0</v>
      </c>
      <c r="AI70" s="47">
        <f t="shared" si="2"/>
        <v>0</v>
      </c>
      <c r="AJ70" s="47">
        <f t="shared" si="2"/>
        <v>0</v>
      </c>
      <c r="AK70" s="48">
        <f t="shared" si="2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 t="shared" ref="C71:AK71" si="3"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>SUM(G36:G67)</f>
        <v>0</v>
      </c>
      <c r="H71" s="46">
        <f>SUM(H36:H67)</f>
        <v>0</v>
      </c>
      <c r="I71" s="46">
        <f t="shared" si="3"/>
        <v>0</v>
      </c>
      <c r="J71" s="46">
        <f t="shared" si="3"/>
        <v>0</v>
      </c>
      <c r="K71" s="46">
        <f t="shared" si="3"/>
        <v>0</v>
      </c>
      <c r="L71" s="46">
        <f t="shared" si="3"/>
        <v>0</v>
      </c>
      <c r="M71" s="46">
        <f t="shared" si="3"/>
        <v>0</v>
      </c>
      <c r="N71" s="46">
        <f t="shared" si="3"/>
        <v>0</v>
      </c>
      <c r="O71" s="46">
        <f t="shared" si="3"/>
        <v>0</v>
      </c>
      <c r="P71" s="46">
        <f t="shared" si="3"/>
        <v>0</v>
      </c>
      <c r="Q71" s="46">
        <f t="shared" si="3"/>
        <v>0</v>
      </c>
      <c r="R71" s="46">
        <f t="shared" si="3"/>
        <v>0</v>
      </c>
      <c r="S71" s="46">
        <f t="shared" si="3"/>
        <v>0</v>
      </c>
      <c r="T71" s="46">
        <f t="shared" si="3"/>
        <v>0</v>
      </c>
      <c r="U71" s="46">
        <f t="shared" si="3"/>
        <v>0</v>
      </c>
      <c r="V71" s="46">
        <f t="shared" si="3"/>
        <v>0</v>
      </c>
      <c r="W71" s="46">
        <f t="shared" si="3"/>
        <v>0</v>
      </c>
      <c r="X71" s="46">
        <f t="shared" si="3"/>
        <v>0</v>
      </c>
      <c r="Y71" s="46">
        <f t="shared" si="3"/>
        <v>0</v>
      </c>
      <c r="Z71" s="46">
        <f t="shared" si="3"/>
        <v>0</v>
      </c>
      <c r="AA71" s="47">
        <f t="shared" si="3"/>
        <v>0</v>
      </c>
      <c r="AB71" s="47">
        <f t="shared" si="3"/>
        <v>0</v>
      </c>
      <c r="AC71" s="47">
        <f t="shared" si="3"/>
        <v>0</v>
      </c>
      <c r="AD71" s="47">
        <f t="shared" si="3"/>
        <v>0</v>
      </c>
      <c r="AE71" s="47">
        <f t="shared" si="3"/>
        <v>0</v>
      </c>
      <c r="AF71" s="47">
        <f t="shared" si="3"/>
        <v>0</v>
      </c>
      <c r="AG71" s="47">
        <f t="shared" si="3"/>
        <v>0</v>
      </c>
      <c r="AH71" s="47">
        <f t="shared" si="3"/>
        <v>0</v>
      </c>
      <c r="AI71" s="47">
        <f t="shared" si="3"/>
        <v>0</v>
      </c>
      <c r="AJ71" s="47">
        <f t="shared" si="3"/>
        <v>0</v>
      </c>
      <c r="AK71" s="48">
        <f t="shared" si="3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8"/>
      <c r="P72" s="8"/>
      <c r="Q72" s="50"/>
      <c r="R72" s="50"/>
      <c r="S72" s="8"/>
      <c r="T72" s="8"/>
      <c r="U72" s="8"/>
      <c r="V72" s="8"/>
      <c r="W72" s="8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60"/>
      <c r="E78" s="51"/>
      <c r="F78" s="51"/>
      <c r="G78" s="5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8"/>
      <c r="R79" s="8"/>
      <c r="S79" s="8"/>
      <c r="T79" s="8"/>
      <c r="U79" s="8"/>
      <c r="V79" s="8"/>
      <c r="W79" s="8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9032.16</v>
      </c>
      <c r="Q81" s="8"/>
      <c r="R81" s="8"/>
      <c r="S81" s="64"/>
      <c r="T81" s="8"/>
      <c r="U81" s="8"/>
      <c r="V81" s="8"/>
      <c r="W81" s="8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9032.16</v>
      </c>
      <c r="Q83" s="8"/>
      <c r="R83" s="8"/>
      <c r="S83" s="8"/>
      <c r="T83" s="8"/>
      <c r="U83" s="8"/>
      <c r="V83" s="8"/>
      <c r="W83" s="8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-13189.67</v>
      </c>
      <c r="Q85" s="8"/>
      <c r="R85" s="8"/>
      <c r="S85" s="8"/>
      <c r="T85" s="8"/>
      <c r="U85" s="8"/>
      <c r="V85" s="8"/>
      <c r="W85" s="8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8"/>
      <c r="R86" s="8"/>
      <c r="S86" s="8"/>
      <c r="T86" s="8"/>
      <c r="U86" s="8"/>
      <c r="V86" s="8"/>
      <c r="W86" s="8"/>
      <c r="X86" s="51"/>
      <c r="Y86" s="51"/>
      <c r="Z86" s="51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-13189.67</v>
      </c>
      <c r="Q87" s="8"/>
      <c r="R87" s="8"/>
      <c r="S87" s="8"/>
      <c r="T87" s="8"/>
      <c r="U87" s="8"/>
      <c r="V87" s="8"/>
      <c r="W87" s="8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-4157.51</v>
      </c>
      <c r="Q89" s="8"/>
      <c r="R89" s="8"/>
      <c r="S89" s="69"/>
      <c r="T89" s="69"/>
      <c r="U89" s="69"/>
      <c r="V89" s="69"/>
      <c r="W89" s="69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-4157.51</v>
      </c>
      <c r="Q90" s="8"/>
      <c r="R90" s="8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Santos</dc:creator>
  <cp:lastModifiedBy>Matheus Souza Santos</cp:lastModifiedBy>
  <dcterms:created xsi:type="dcterms:W3CDTF">2026-06-18T20:02:35Z</dcterms:created>
  <dcterms:modified xsi:type="dcterms:W3CDTF">2026-06-18T20:03:50Z</dcterms:modified>
</cp:coreProperties>
</file>