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0159459\Desktop\"/>
    </mc:Choice>
  </mc:AlternateContent>
  <xr:revisionPtr revIDLastSave="0" documentId="8_{781B3A20-99AA-4608-B105-8BC4FFF1BCD4}" xr6:coauthVersionLast="47" xr6:coauthVersionMax="47" xr10:uidLastSave="{00000000-0000-0000-0000-000000000000}"/>
  <bookViews>
    <workbookView xWindow="-110" yWindow="-110" windowWidth="19420" windowHeight="10300" xr2:uid="{AAEFD370-BB3C-4534-8E18-E6F3AD813FB3}"/>
  </bookViews>
  <sheets>
    <sheet name="INTEREDE" sheetId="1" r:id="rId1"/>
  </sheets>
  <externalReferences>
    <externalReference r:id="rId2"/>
  </externalReferences>
  <definedNames>
    <definedName name="_F70000" localSheetId="0">#REF!</definedName>
    <definedName name="_F70000">#REF!</definedName>
    <definedName name="ASDASD" localSheetId="0">#REF!</definedName>
    <definedName name="ASDASD">#REF!</definedName>
    <definedName name="asdsada" localSheetId="0">#REF!</definedName>
    <definedName name="asdsada">#REF!</definedName>
    <definedName name="ASDSADAS" localSheetId="0">#REF!</definedName>
    <definedName name="ASDSADAS">#REF!</definedName>
    <definedName name="CATA" localSheetId="0">#REF!</definedName>
    <definedName name="CATA">#REF!</definedName>
    <definedName name="d" localSheetId="0">#REF!</definedName>
    <definedName name="d">#REF!</definedName>
    <definedName name="ddd">#REF!</definedName>
    <definedName name="f" localSheetId="0">#REF!</definedName>
    <definedName name="f">#REF!</definedName>
    <definedName name="ITCONECT" localSheetId="0">#REF!</definedName>
    <definedName name="ITCONECT">#REF!</definedName>
    <definedName name="M" localSheetId="0">#REF!</definedName>
    <definedName name="M">#REF!</definedName>
    <definedName name="PLIM">#REF!</definedName>
    <definedName name="S" localSheetId="0">#REF!</definedName>
    <definedName name="S">#REF!</definedName>
    <definedName name="SUL" localSheetId="0">#REF!</definedName>
    <definedName name="SUL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8" i="1"/>
  <c r="AK137" i="1"/>
  <c r="P82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AC68" i="1"/>
  <c r="AB68" i="1"/>
  <c r="P86" i="1" s="1"/>
  <c r="AA68" i="1"/>
  <c r="P85" i="1" s="1"/>
  <c r="P87" i="1" s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P81" i="1" s="1"/>
  <c r="P83" i="1" s="1"/>
  <c r="P89" i="1" s="1"/>
  <c r="P90" i="1" s="1"/>
  <c r="N2" i="1"/>
  <c r="L2" i="1"/>
</calcChain>
</file>

<file path=xl/sharedStrings.xml><?xml version="1.0" encoding="utf-8"?>
<sst xmlns="http://schemas.openxmlformats.org/spreadsheetml/2006/main" count="61" uniqueCount="57">
  <si>
    <t>DATA DE VENCIMENTO</t>
  </si>
  <si>
    <t>MÊS DE TRÁFEGO</t>
  </si>
  <si>
    <t>Oper JV</t>
  </si>
  <si>
    <t>Bill&amp;Keep</t>
  </si>
  <si>
    <t>Receita VU-M</t>
  </si>
  <si>
    <t>Contestação  VU-M</t>
  </si>
  <si>
    <t>Receita TU-RL SP</t>
  </si>
  <si>
    <t>Contestação  TU-RL SP</t>
  </si>
  <si>
    <t>Receita TU-RL FWT</t>
  </si>
  <si>
    <t>Contestação  TU-RL FWT</t>
  </si>
  <si>
    <t>Receita SMS</t>
  </si>
  <si>
    <t>Contestação SMS</t>
  </si>
  <si>
    <t>Receita MMS</t>
  </si>
  <si>
    <t>Contestação MMS</t>
  </si>
  <si>
    <t>Receita Roaming</t>
  </si>
  <si>
    <t>Contestação Roaming</t>
  </si>
  <si>
    <t>Receita Wholesale</t>
  </si>
  <si>
    <t>Contestação Receita Wholesale</t>
  </si>
  <si>
    <t>Receita PTL</t>
  </si>
  <si>
    <t>Contestação PTL</t>
  </si>
  <si>
    <t>Receita Transporte  SP</t>
  </si>
  <si>
    <t>Contestação  Transporte SP</t>
  </si>
  <si>
    <t>Receita Transporte FWT</t>
  </si>
  <si>
    <t>Contestação  Transporte FWT</t>
  </si>
  <si>
    <t>Receita Transporte SIP</t>
  </si>
  <si>
    <t>Contestação Trans SIP</t>
  </si>
  <si>
    <t>Receita Renpac</t>
  </si>
  <si>
    <t>Contestação Renpac</t>
  </si>
  <si>
    <t>Despesa ITX</t>
  </si>
  <si>
    <t>Contestação Despesa</t>
  </si>
  <si>
    <t>Despesa SMS</t>
  </si>
  <si>
    <t>Contestação Despesa SMS</t>
  </si>
  <si>
    <t>Despesa LD</t>
  </si>
  <si>
    <t>Contestação Despesa LD</t>
  </si>
  <si>
    <t>Despesa PTL</t>
  </si>
  <si>
    <t>Contestação Despesa PTL</t>
  </si>
  <si>
    <t>Despesa Transporte</t>
  </si>
  <si>
    <t>Despesa Transporte SIP</t>
  </si>
  <si>
    <t>TOTAL GERAL</t>
  </si>
  <si>
    <t xml:space="preserve">TOTAL </t>
  </si>
  <si>
    <t>TOTAL TBRA MOVEL</t>
  </si>
  <si>
    <t>TOTAL TBRA STFC  (SP)</t>
  </si>
  <si>
    <t>TOTAL TBRA STFC</t>
  </si>
  <si>
    <t>DETUP / RETUP</t>
  </si>
  <si>
    <t>Competência</t>
  </si>
  <si>
    <t>Crédito Telefonica</t>
  </si>
  <si>
    <t>Saldo</t>
  </si>
  <si>
    <t>-</t>
  </si>
  <si>
    <t>RESUMO ENCONTRO DE CONTAS</t>
  </si>
  <si>
    <t>Total Receita</t>
  </si>
  <si>
    <t>Total Contestação Receita</t>
  </si>
  <si>
    <t>Subtotal Receita</t>
  </si>
  <si>
    <t>Total Despesa</t>
  </si>
  <si>
    <t>Total Contestação Despesa</t>
  </si>
  <si>
    <t>Subtotal Despesa</t>
  </si>
  <si>
    <t>SALDO EC</t>
  </si>
  <si>
    <r>
      <t xml:space="preserve">SALDO EC </t>
    </r>
    <r>
      <rPr>
        <b/>
        <sz val="10"/>
        <color theme="5" tint="-0.499984740745262"/>
        <rFont val="Calibri"/>
        <family val="2"/>
        <scheme val="minor"/>
      </rPr>
      <t>COM 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</si>
</sst>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 applyFont="0" applyFill="0" applyBorder="0" applyAlignment="0" applyProtection="0"/>
  </cellStyleXfs>
  <cellXfs count="72">
    <xf numFmtId="0" fontId="0" fillId="0" borderId="0" xfId="0"/>
    <xf numFmtId="0" fontId="5" fillId="2" borderId="0" xfId="1" applyFont="1" applyFill="1"/>
    <xf numFmtId="0" fontId="6" fillId="3" borderId="0" xfId="1" applyFont="1" applyFill="1" applyAlignment="1">
      <alignment horizontal="center" vertical="center"/>
    </xf>
    <xf numFmtId="0" fontId="4" fillId="0" borderId="0" xfId="1"/>
    <xf numFmtId="4" fontId="4" fillId="0" borderId="0" xfId="1" applyNumberFormat="1"/>
    <xf numFmtId="0" fontId="7" fillId="4" borderId="0" xfId="2" applyFont="1" applyFill="1" applyAlignment="1">
      <alignment horizontal="center" vertical="center"/>
    </xf>
    <xf numFmtId="14" fontId="7" fillId="4" borderId="0" xfId="2" applyNumberFormat="1" applyFont="1" applyFill="1" applyAlignment="1">
      <alignment horizontal="center" vertical="center"/>
    </xf>
    <xf numFmtId="0" fontId="8" fillId="2" borderId="0" xfId="3" applyFill="1"/>
    <xf numFmtId="0" fontId="5" fillId="0" borderId="0" xfId="1" applyFont="1"/>
    <xf numFmtId="0" fontId="9" fillId="4" borderId="1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4" fontId="12" fillId="0" borderId="0" xfId="2" applyNumberFormat="1" applyFont="1"/>
    <xf numFmtId="4" fontId="13" fillId="0" borderId="0" xfId="0" applyNumberFormat="1" applyFont="1"/>
    <xf numFmtId="4" fontId="14" fillId="0" borderId="0" xfId="2" applyNumberFormat="1" applyFont="1"/>
    <xf numFmtId="4" fontId="5" fillId="0" borderId="3" xfId="2" applyNumberFormat="1" applyFont="1" applyBorder="1"/>
    <xf numFmtId="4" fontId="12" fillId="0" borderId="0" xfId="2" applyNumberFormat="1" applyFont="1" applyAlignment="1">
      <alignment horizontal="right"/>
    </xf>
    <xf numFmtId="4" fontId="12" fillId="0" borderId="0" xfId="4" applyNumberFormat="1" applyFont="1" applyFill="1"/>
    <xf numFmtId="4" fontId="14" fillId="0" borderId="0" xfId="4" applyNumberFormat="1" applyFont="1" applyFill="1"/>
    <xf numFmtId="4" fontId="5" fillId="0" borderId="3" xfId="4" applyNumberFormat="1" applyFont="1" applyFill="1" applyBorder="1"/>
    <xf numFmtId="4" fontId="12" fillId="0" borderId="0" xfId="5" applyNumberFormat="1" applyFont="1" applyAlignment="1">
      <alignment wrapText="1"/>
    </xf>
    <xf numFmtId="4" fontId="16" fillId="0" borderId="0" xfId="5" applyNumberFormat="1" applyFont="1" applyAlignment="1">
      <alignment wrapText="1"/>
    </xf>
    <xf numFmtId="4" fontId="7" fillId="0" borderId="0" xfId="5" applyNumberFormat="1" applyFont="1" applyAlignment="1">
      <alignment wrapText="1"/>
    </xf>
    <xf numFmtId="4" fontId="17" fillId="0" borderId="3" xfId="5" applyNumberFormat="1" applyFont="1" applyBorder="1" applyAlignment="1">
      <alignment wrapText="1"/>
    </xf>
    <xf numFmtId="4" fontId="13" fillId="5" borderId="0" xfId="0" applyNumberFormat="1" applyFont="1" applyFill="1"/>
    <xf numFmtId="4" fontId="14" fillId="5" borderId="0" xfId="2" applyNumberFormat="1" applyFont="1" applyFill="1"/>
    <xf numFmtId="0" fontId="5" fillId="6" borderId="0" xfId="2" applyFont="1" applyFill="1" applyAlignment="1">
      <alignment horizontal="left"/>
    </xf>
    <xf numFmtId="4" fontId="12" fillId="6" borderId="0" xfId="2" applyNumberFormat="1" applyFont="1" applyFill="1"/>
    <xf numFmtId="4" fontId="14" fillId="6" borderId="0" xfId="2" applyNumberFormat="1" applyFont="1" applyFill="1"/>
    <xf numFmtId="4" fontId="5" fillId="6" borderId="3" xfId="2" applyNumberFormat="1" applyFont="1" applyFill="1" applyBorder="1"/>
    <xf numFmtId="0" fontId="5" fillId="6" borderId="0" xfId="2" quotePrefix="1" applyFont="1" applyFill="1" applyAlignment="1">
      <alignment horizontal="left"/>
    </xf>
    <xf numFmtId="4" fontId="12" fillId="0" borderId="0" xfId="6" applyNumberFormat="1" applyFont="1" applyFill="1"/>
    <xf numFmtId="0" fontId="5" fillId="0" borderId="4" xfId="2" applyFont="1" applyBorder="1" applyAlignment="1">
      <alignment horizontal="left"/>
    </xf>
    <xf numFmtId="4" fontId="12" fillId="0" borderId="4" xfId="2" applyNumberFormat="1" applyFont="1" applyBorder="1"/>
    <xf numFmtId="4" fontId="14" fillId="0" borderId="4" xfId="2" applyNumberFormat="1" applyFont="1" applyBorder="1"/>
    <xf numFmtId="4" fontId="5" fillId="0" borderId="5" xfId="2" applyNumberFormat="1" applyFont="1" applyBorder="1"/>
    <xf numFmtId="0" fontId="17" fillId="7" borderId="6" xfId="2" applyFont="1" applyFill="1" applyBorder="1" applyAlignment="1">
      <alignment horizontal="left"/>
    </xf>
    <xf numFmtId="4" fontId="16" fillId="7" borderId="6" xfId="7" applyNumberFormat="1" applyFont="1" applyFill="1" applyBorder="1" applyAlignment="1">
      <alignment horizontal="center"/>
    </xf>
    <xf numFmtId="4" fontId="7" fillId="7" borderId="6" xfId="7" applyNumberFormat="1" applyFont="1" applyFill="1" applyBorder="1" applyAlignment="1">
      <alignment horizontal="center"/>
    </xf>
    <xf numFmtId="4" fontId="17" fillId="7" borderId="7" xfId="7" applyNumberFormat="1" applyFont="1" applyFill="1" applyBorder="1" applyAlignment="1">
      <alignment horizontal="center"/>
    </xf>
    <xf numFmtId="0" fontId="17" fillId="8" borderId="8" xfId="2" applyFont="1" applyFill="1" applyBorder="1" applyAlignment="1">
      <alignment horizontal="left"/>
    </xf>
    <xf numFmtId="4" fontId="12" fillId="8" borderId="8" xfId="7" applyNumberFormat="1" applyFont="1" applyFill="1" applyBorder="1" applyAlignment="1">
      <alignment horizontal="center"/>
    </xf>
    <xf numFmtId="4" fontId="14" fillId="8" borderId="8" xfId="7" applyNumberFormat="1" applyFont="1" applyFill="1" applyBorder="1" applyAlignment="1">
      <alignment horizontal="center"/>
    </xf>
    <xf numFmtId="4" fontId="5" fillId="8" borderId="9" xfId="7" applyNumberFormat="1" applyFont="1" applyFill="1" applyBorder="1" applyAlignment="1">
      <alignment horizontal="center"/>
    </xf>
    <xf numFmtId="0" fontId="17" fillId="8" borderId="10" xfId="2" applyFont="1" applyFill="1" applyBorder="1" applyAlignment="1">
      <alignment horizontal="left"/>
    </xf>
    <xf numFmtId="4" fontId="12" fillId="8" borderId="10" xfId="2" applyNumberFormat="1" applyFont="1" applyFill="1" applyBorder="1" applyAlignment="1">
      <alignment horizontal="center"/>
    </xf>
    <xf numFmtId="4" fontId="14" fillId="8" borderId="10" xfId="2" applyNumberFormat="1" applyFont="1" applyFill="1" applyBorder="1" applyAlignment="1">
      <alignment horizontal="center"/>
    </xf>
    <xf numFmtId="4" fontId="5" fillId="8" borderId="11" xfId="2" applyNumberFormat="1" applyFont="1" applyFill="1" applyBorder="1" applyAlignment="1">
      <alignment horizontal="center"/>
    </xf>
    <xf numFmtId="4" fontId="5" fillId="0" borderId="0" xfId="8" applyNumberFormat="1" applyFont="1"/>
    <xf numFmtId="164" fontId="5" fillId="0" borderId="0" xfId="1" applyNumberFormat="1" applyFont="1"/>
    <xf numFmtId="164" fontId="5" fillId="2" borderId="0" xfId="9" applyFont="1" applyFill="1"/>
    <xf numFmtId="0" fontId="18" fillId="9" borderId="0" xfId="1" applyFont="1" applyFill="1" applyAlignment="1">
      <alignment horizontal="center"/>
    </xf>
    <xf numFmtId="0" fontId="17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7" fontId="19" fillId="0" borderId="13" xfId="1" applyNumberFormat="1" applyFont="1" applyBorder="1" applyAlignment="1">
      <alignment horizontal="center" vertical="center"/>
    </xf>
    <xf numFmtId="4" fontId="1" fillId="0" borderId="13" xfId="10" applyNumberFormat="1" applyBorder="1" applyAlignment="1">
      <alignment horizontal="center"/>
    </xf>
    <xf numFmtId="43" fontId="13" fillId="0" borderId="13" xfId="11" applyNumberFormat="1" applyFont="1" applyFill="1" applyBorder="1" applyAlignment="1">
      <alignment horizontal="center" vertical="center"/>
    </xf>
    <xf numFmtId="4" fontId="1" fillId="0" borderId="0" xfId="10" applyNumberFormat="1" applyAlignment="1">
      <alignment horizontal="center"/>
    </xf>
    <xf numFmtId="164" fontId="19" fillId="0" borderId="13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center"/>
    </xf>
    <xf numFmtId="0" fontId="2" fillId="10" borderId="0" xfId="1" applyFont="1" applyFill="1" applyAlignment="1">
      <alignment horizontal="center"/>
    </xf>
    <xf numFmtId="0" fontId="9" fillId="0" borderId="13" xfId="1" applyFont="1" applyBorder="1"/>
    <xf numFmtId="4" fontId="9" fillId="0" borderId="13" xfId="1" applyNumberFormat="1" applyFont="1" applyBorder="1"/>
    <xf numFmtId="0" fontId="20" fillId="0" borderId="0" xfId="1" applyFont="1"/>
    <xf numFmtId="43" fontId="5" fillId="2" borderId="0" xfId="1" applyNumberFormat="1" applyFont="1" applyFill="1"/>
    <xf numFmtId="0" fontId="9" fillId="0" borderId="13" xfId="2" applyFont="1" applyBorder="1" applyAlignment="1">
      <alignment vertical="center"/>
    </xf>
    <xf numFmtId="4" fontId="3" fillId="0" borderId="13" xfId="2" applyNumberFormat="1" applyFont="1" applyBorder="1" applyAlignment="1">
      <alignment vertical="center"/>
    </xf>
    <xf numFmtId="4" fontId="5" fillId="2" borderId="0" xfId="1" applyNumberFormat="1" applyFont="1" applyFill="1"/>
    <xf numFmtId="0" fontId="21" fillId="11" borderId="13" xfId="2" applyFont="1" applyFill="1" applyBorder="1" applyAlignment="1">
      <alignment vertical="center"/>
    </xf>
    <xf numFmtId="4" fontId="21" fillId="11" borderId="13" xfId="2" applyNumberFormat="1" applyFont="1" applyFill="1" applyBorder="1" applyAlignment="1">
      <alignment vertical="center"/>
    </xf>
  </cellXfs>
  <cellStyles count="12">
    <cellStyle name="Hiperlink" xfId="3" builtinId="8"/>
    <cellStyle name="Normal" xfId="0" builtinId="0"/>
    <cellStyle name="Normal 2 10 11" xfId="1" xr:uid="{6A34799E-7ECC-4B0D-9592-15D739996516}"/>
    <cellStyle name="Normal 2 2 22" xfId="10" xr:uid="{FD49054D-8269-471A-AC2D-BC518891BA46}"/>
    <cellStyle name="Normal 84" xfId="5" xr:uid="{76CE348C-1841-4F25-827D-EFA3B70629DB}"/>
    <cellStyle name="Normal 9 2" xfId="2" xr:uid="{D9A2831B-6C0F-4289-B1E6-0E464606DF32}"/>
    <cellStyle name="Porcentagem 2" xfId="6" xr:uid="{CA792C35-A209-45AF-82F3-1E74F56E8383}"/>
    <cellStyle name="Separador de milhares 10 2 2" xfId="8" xr:uid="{9107D819-6790-4B23-9D39-13E1F0358382}"/>
    <cellStyle name="Separador de milhares 14 4" xfId="9" xr:uid="{7C8ACE7D-4B4C-45EC-AF81-6064B6CDF3FF}"/>
    <cellStyle name="Separador de milhares 22 2 2" xfId="7" xr:uid="{DF828A6B-4205-4793-A2C2-52C6A88E6F11}"/>
    <cellStyle name="Separador de milhares 22 4" xfId="11" xr:uid="{BAC80774-F2D8-4D28-9498-940DFF754DA4}"/>
    <cellStyle name="Vírgula 2 3 3" xfId="4" xr:uid="{9D40F136-8527-409F-8B69-43FF31695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role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189156</xdr:colOff>
      <xdr:row>0</xdr:row>
      <xdr:rowOff>0</xdr:rowOff>
    </xdr:from>
    <xdr:to>
      <xdr:col>2</xdr:col>
      <xdr:colOff>127552</xdr:colOff>
      <xdr:row>2</xdr:row>
      <xdr:rowOff>35719</xdr:rowOff>
    </xdr:to>
    <xdr:pic>
      <xdr:nvPicPr>
        <xdr:cNvPr id="2" name="Imagem 2" descr="logo_telvivo.jpg">
          <a:extLst>
            <a:ext uri="{FF2B5EF4-FFF2-40B4-BE49-F238E27FC236}">
              <a16:creationId xmlns:a16="http://schemas.microsoft.com/office/drawing/2014/main" id="{DF77B81F-BBA4-48E4-9DC9-F7DDBB27D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313296" cy="613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189156</xdr:colOff>
      <xdr:row>0</xdr:row>
      <xdr:rowOff>0</xdr:rowOff>
    </xdr:from>
    <xdr:to>
      <xdr:col>2</xdr:col>
      <xdr:colOff>127552</xdr:colOff>
      <xdr:row>2</xdr:row>
      <xdr:rowOff>35719</xdr:rowOff>
    </xdr:to>
    <xdr:pic>
      <xdr:nvPicPr>
        <xdr:cNvPr id="3" name="Imagem 2" descr="logo_telvivo.jpg">
          <a:extLst>
            <a:ext uri="{FF2B5EF4-FFF2-40B4-BE49-F238E27FC236}">
              <a16:creationId xmlns:a16="http://schemas.microsoft.com/office/drawing/2014/main" id="{8D923B22-1C92-4DB7-B726-3E8D4658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313296" cy="6135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189156</xdr:colOff>
      <xdr:row>0</xdr:row>
      <xdr:rowOff>0</xdr:rowOff>
    </xdr:from>
    <xdr:ext cx="2200584" cy="607219"/>
    <xdr:pic>
      <xdr:nvPicPr>
        <xdr:cNvPr id="4" name="Imagem 2" descr="logo_telvivo.jpg">
          <a:extLst>
            <a:ext uri="{FF2B5EF4-FFF2-40B4-BE49-F238E27FC236}">
              <a16:creationId xmlns:a16="http://schemas.microsoft.com/office/drawing/2014/main" id="{83A7A5B8-F683-431E-A1FC-98A5570D2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200584" cy="6072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189156</xdr:colOff>
      <xdr:row>0</xdr:row>
      <xdr:rowOff>0</xdr:rowOff>
    </xdr:from>
    <xdr:ext cx="2200584" cy="607219"/>
    <xdr:pic>
      <xdr:nvPicPr>
        <xdr:cNvPr id="5" name="Imagem 4" descr="logo_telvivo.jpg">
          <a:extLst>
            <a:ext uri="{FF2B5EF4-FFF2-40B4-BE49-F238E27FC236}">
              <a16:creationId xmlns:a16="http://schemas.microsoft.com/office/drawing/2014/main" id="{DA76774F-B35F-4126-AD21-DDE257E10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9156" y="0"/>
          <a:ext cx="2200584" cy="6072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93906</xdr:colOff>
      <xdr:row>0</xdr:row>
      <xdr:rowOff>185598</xdr:rowOff>
    </xdr:from>
    <xdr:ext cx="2190778" cy="598114"/>
    <xdr:pic>
      <xdr:nvPicPr>
        <xdr:cNvPr id="6" name="Imagem 2" descr="logo_telvivo.jpg">
          <a:extLst>
            <a:ext uri="{FF2B5EF4-FFF2-40B4-BE49-F238E27FC236}">
              <a16:creationId xmlns:a16="http://schemas.microsoft.com/office/drawing/2014/main" id="{0FB8210F-2A56-4D44-9649-D1FB7F8D5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906" y="185598"/>
          <a:ext cx="2190778" cy="5981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93906</xdr:colOff>
      <xdr:row>0</xdr:row>
      <xdr:rowOff>185598</xdr:rowOff>
    </xdr:from>
    <xdr:ext cx="2190778" cy="598114"/>
    <xdr:pic>
      <xdr:nvPicPr>
        <xdr:cNvPr id="7" name="Imagem 6" descr="logo_telvivo.jpg">
          <a:extLst>
            <a:ext uri="{FF2B5EF4-FFF2-40B4-BE49-F238E27FC236}">
              <a16:creationId xmlns:a16="http://schemas.microsoft.com/office/drawing/2014/main" id="{26CE4536-8648-463C-863C-A349480BB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906" y="185598"/>
          <a:ext cx="2190778" cy="5981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14</xdr:col>
      <xdr:colOff>0</xdr:colOff>
      <xdr:row>1</xdr:row>
      <xdr:rowOff>0</xdr:rowOff>
    </xdr:from>
    <xdr:to>
      <xdr:col>14</xdr:col>
      <xdr:colOff>238125</xdr:colOff>
      <xdr:row>1</xdr:row>
      <xdr:rowOff>166688</xdr:rowOff>
    </xdr:to>
    <xdr:sp macro="" textlink="">
      <xdr:nvSpPr>
        <xdr:cNvPr id="8" name="Texto Explicativo em Nuvem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7EDA30-1DDB-4C3D-A9BF-972AE7947F91}"/>
            </a:ext>
          </a:extLst>
        </xdr:cNvPr>
        <xdr:cNvSpPr/>
      </xdr:nvSpPr>
      <xdr:spPr>
        <a:xfrm>
          <a:off x="15608300" y="266700"/>
          <a:ext cx="238125" cy="166688"/>
        </a:xfrm>
        <a:prstGeom prst="cloudCallou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agoa\di\DI-A\DI-A1\Encontro%20de%20Contas\2026\202604\EC_2026.04_Hugo.xlsm" TargetMode="External"/><Relationship Id="rId1" Type="http://schemas.openxmlformats.org/officeDocument/2006/relationships/externalLinkPath" Target="file:///\\Lagoa\di\DI-A\DI-A1\Encontro%20de%20Contas\2026\202604\EC_2026.04_Hug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VSTAR"/>
      <sheetName val="RMNETWORK"/>
      <sheetName val="MINUTOS"/>
      <sheetName val="BIGNET"/>
      <sheetName val="Controle"/>
      <sheetName val="TTA"/>
      <sheetName val="STA"/>
      <sheetName val="ORSSATTO"/>
      <sheetName val="4NET"/>
      <sheetName val="8BR"/>
      <sheetName val="55TELECOM"/>
      <sheetName val="100LIMITE"/>
      <sheetName val="ACESSO"/>
      <sheetName val="ADVANCE"/>
      <sheetName val="AGERA"/>
      <sheetName val="AMPERNET"/>
      <sheetName val="ALGARVGL"/>
      <sheetName val="ATEKY"/>
      <sheetName val="ATLANET"/>
      <sheetName val="ATUATEC"/>
      <sheetName val="BALDUSSI"/>
      <sheetName val="BRASILLIKE"/>
      <sheetName val="BrasilTecpar"/>
      <sheetName val="BRASERVICOS"/>
      <sheetName val="BRASILFONE"/>
      <sheetName val="C3"/>
      <sheetName val="BRISANET"/>
      <sheetName val="CBNET"/>
      <sheetName val="Completa"/>
      <sheetName val="Conectel"/>
      <sheetName val="CONNECTRONIC"/>
      <sheetName val="CTBC"/>
      <sheetName val="DATORA"/>
      <sheetName val="DATORAMOB"/>
      <sheetName val="DB3"/>
      <sheetName val="DSLI"/>
      <sheetName val="DRCALL"/>
      <sheetName val="EASYTEL"/>
      <sheetName val="EQUATORIAL"/>
      <sheetName val="DEPOSITAR"/>
      <sheetName val="EVOLUX"/>
      <sheetName val="FIBRION"/>
      <sheetName val="FIBERVOICE"/>
      <sheetName val="FALEMAIS"/>
      <sheetName val="FLUXTELECOM"/>
      <sheetName val="FIBERVOX"/>
      <sheetName val="GLOBALFIBRA"/>
      <sheetName val="ALMEIDA"/>
      <sheetName val="GIGABYTE"/>
      <sheetName val="FSM"/>
      <sheetName val="GLOBAL"/>
      <sheetName val="GOLD"/>
      <sheetName val="GOLDEN"/>
      <sheetName val="GOLDCOM"/>
      <sheetName val="HITTELCM"/>
      <sheetName val="HARDONLINE"/>
      <sheetName val="HZ"/>
      <sheetName val="INFONAVI"/>
      <sheetName val="INNOVA"/>
      <sheetName val="INTEREDE"/>
      <sheetName val="ISPX"/>
      <sheetName val="IVELOZ"/>
      <sheetName val="JRC"/>
      <sheetName val="LESTETRONICS"/>
      <sheetName val="LH"/>
      <sheetName val="LIFETEL"/>
      <sheetName val="LYTUX"/>
      <sheetName val="LINQ"/>
      <sheetName val="MD"/>
      <sheetName val="MOGA"/>
      <sheetName val="NET11"/>
      <sheetName val="NETSPEED"/>
      <sheetName val="NETWARE"/>
      <sheetName val="NETSERV"/>
      <sheetName val="NEW"/>
      <sheetName val="NORTH"/>
      <sheetName val="NOVACIA"/>
      <sheetName val="NOVATECH"/>
      <sheetName val="NOVVACORE"/>
      <sheetName val="OTIMA"/>
      <sheetName val="OAI"/>
      <sheetName val="PLIS"/>
      <sheetName val="PREDLINK"/>
      <sheetName val="SERCOMTELCEL"/>
      <sheetName val="SERCOMTELTEL"/>
      <sheetName val="TMW"/>
      <sheetName val="SEMFRONTEIRAS"/>
      <sheetName val="RADIOBRAS"/>
      <sheetName val="RST"/>
      <sheetName val="RCT"/>
      <sheetName val="SINAL"/>
      <sheetName val="SIPTALK"/>
      <sheetName val="SISTEL"/>
      <sheetName val="SKYNET"/>
      <sheetName val="SPIN"/>
      <sheetName val="SULNET"/>
      <sheetName val="TECNOTEL"/>
      <sheetName val="TELLCHEAP"/>
      <sheetName val="TUBARON"/>
      <sheetName val="TINERHIR"/>
      <sheetName val="UFINET"/>
      <sheetName val="VETT"/>
      <sheetName val="VITTEL"/>
      <sheetName val="VERO"/>
      <sheetName val="VIP"/>
      <sheetName val="VMAXNET"/>
      <sheetName val="VOAFIBRA"/>
      <sheetName val="VOCALNET"/>
      <sheetName val="VOICECORP"/>
      <sheetName val="VONARE"/>
      <sheetName val="VONEX"/>
      <sheetName val="WW"/>
      <sheetName val="WCS"/>
      <sheetName val="WIKI"/>
      <sheetName val="WN"/>
      <sheetName val="WAVEMAX"/>
      <sheetName val="VIVAVOX"/>
      <sheetName val="Valida Receita"/>
      <sheetName val="Planilh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2837-0BDA-414A-9760-D8662E0F7B70}">
  <sheetPr codeName="Planilha45">
    <tabColor theme="2"/>
    <pageSetUpPr fitToPage="1"/>
  </sheetPr>
  <dimension ref="A1:BD140"/>
  <sheetViews>
    <sheetView showGridLines="0" tabSelected="1" zoomScale="55" zoomScaleNormal="55" workbookViewId="0">
      <pane xSplit="1" ySplit="6" topLeftCell="B7" activePane="bottomRight" state="frozen"/>
      <selection activeCell="O3" sqref="O3"/>
      <selection pane="topRight" activeCell="O3" sqref="O3"/>
      <selection pane="bottomLeft" activeCell="O3" sqref="O3"/>
      <selection pane="bottomRight"/>
    </sheetView>
  </sheetViews>
  <sheetFormatPr defaultColWidth="9.453125" defaultRowHeight="12.5" x14ac:dyDescent="0.25"/>
  <cols>
    <col min="1" max="1" width="18.54296875" style="3" customWidth="1"/>
    <col min="2" max="2" width="15.453125" style="3" customWidth="1"/>
    <col min="3" max="3" width="12.1796875" style="3" customWidth="1"/>
    <col min="4" max="4" width="10.54296875" style="3" customWidth="1"/>
    <col min="5" max="5" width="14.81640625" style="3" customWidth="1"/>
    <col min="6" max="6" width="12.1796875" style="3" customWidth="1"/>
    <col min="7" max="7" width="17.54296875" style="3" customWidth="1"/>
    <col min="8" max="8" width="11.26953125" style="3" customWidth="1"/>
    <col min="9" max="9" width="12.453125" style="3" bestFit="1" customWidth="1"/>
    <col min="10" max="10" width="16.54296875" style="3" bestFit="1" customWidth="1"/>
    <col min="11" max="11" width="19.453125" style="3" bestFit="1" customWidth="1"/>
    <col min="12" max="12" width="15.453125" style="3" customWidth="1"/>
    <col min="13" max="13" width="29.453125" style="3" bestFit="1" customWidth="1"/>
    <col min="14" max="14" width="17.54296875" style="3" customWidth="1"/>
    <col min="15" max="16" width="18.453125" style="3" customWidth="1"/>
    <col min="17" max="17" width="12" style="3" bestFit="1" customWidth="1"/>
    <col min="18" max="18" width="15.54296875" style="3" bestFit="1" customWidth="1"/>
    <col min="19" max="19" width="19.1796875" style="3" customWidth="1"/>
    <col min="20" max="20" width="13.54296875" style="3" customWidth="1"/>
    <col min="21" max="21" width="22.54296875" style="3" bestFit="1" customWidth="1"/>
    <col min="22" max="22" width="16.81640625" style="3" customWidth="1"/>
    <col min="23" max="23" width="21.453125" style="3" bestFit="1" customWidth="1"/>
    <col min="24" max="24" width="20.54296875" style="3" bestFit="1" customWidth="1"/>
    <col min="25" max="25" width="15" style="3" customWidth="1"/>
    <col min="26" max="26" width="12" style="3" bestFit="1" customWidth="1"/>
    <col min="27" max="27" width="12.453125" style="3" bestFit="1" customWidth="1"/>
    <col min="28" max="28" width="20.453125" style="3" bestFit="1" customWidth="1"/>
    <col min="29" max="29" width="13.453125" style="3" bestFit="1" customWidth="1"/>
    <col min="30" max="30" width="20.453125" style="3" bestFit="1" customWidth="1"/>
    <col min="31" max="31" width="11.54296875" style="3" bestFit="1" customWidth="1"/>
    <col min="32" max="32" width="23.453125" style="3" bestFit="1" customWidth="1"/>
    <col min="33" max="33" width="12.453125" style="3" bestFit="1" customWidth="1"/>
    <col min="34" max="34" width="20.453125" style="3" bestFit="1" customWidth="1"/>
    <col min="35" max="35" width="10.54296875" style="3" bestFit="1" customWidth="1"/>
    <col min="36" max="36" width="19.453125" style="3" bestFit="1" customWidth="1"/>
    <col min="37" max="37" width="13.453125" style="3" bestFit="1" customWidth="1"/>
    <col min="38" max="38" width="18.453125" style="3" customWidth="1"/>
    <col min="39" max="39" width="18.54296875" style="3" customWidth="1"/>
    <col min="40" max="42" width="31.54296875" style="3" customWidth="1"/>
    <col min="43" max="43" width="20.54296875" style="3" customWidth="1"/>
    <col min="44" max="45" width="22.453125" style="3" customWidth="1"/>
    <col min="46" max="46" width="15.54296875" style="3" bestFit="1" customWidth="1"/>
    <col min="47" max="47" width="28.453125" style="3" bestFit="1" customWidth="1"/>
    <col min="48" max="48" width="13.453125" style="3" bestFit="1" customWidth="1"/>
    <col min="49" max="49" width="25" style="3" customWidth="1"/>
    <col min="50" max="50" width="14.453125" style="3" bestFit="1" customWidth="1"/>
    <col min="51" max="51" width="26.453125" style="3" customWidth="1"/>
    <col min="52" max="52" width="19.54296875" style="3" customWidth="1"/>
    <col min="53" max="53" width="20.54296875" style="3" customWidth="1"/>
    <col min="54" max="54" width="19.54296875" style="3" customWidth="1"/>
    <col min="55" max="55" width="15" style="4" bestFit="1" customWidth="1"/>
    <col min="56" max="56" width="15.54296875" style="3" customWidth="1"/>
    <col min="57" max="57" width="11.54296875" style="3" bestFit="1" customWidth="1"/>
    <col min="58" max="258" width="9.453125" style="3" customWidth="1"/>
    <col min="259" max="259" width="16.54296875" style="3" customWidth="1"/>
    <col min="260" max="260" width="18.453125" style="3" customWidth="1"/>
    <col min="261" max="261" width="9.453125" style="3" customWidth="1"/>
    <col min="262" max="262" width="17.453125" style="3" customWidth="1"/>
    <col min="263" max="263" width="9.453125" style="3" customWidth="1"/>
    <col min="264" max="264" width="18" style="3" customWidth="1"/>
    <col min="265" max="265" width="20.453125" style="3" customWidth="1"/>
    <col min="266" max="16384" width="9.453125" style="3"/>
  </cols>
  <sheetData>
    <row r="1" spans="1:56" ht="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56" ht="24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0</v>
      </c>
      <c r="L2" s="6" t="e">
        <f>[1]Controle!#REF!</f>
        <v>#REF!</v>
      </c>
      <c r="M2" s="5" t="s">
        <v>1</v>
      </c>
      <c r="N2" s="5" t="e">
        <f>[1]Controle!#REF!</f>
        <v>#REF!</v>
      </c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/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6" ht="12.75" customHeight="1" x14ac:dyDescent="0.3">
      <c r="A5" s="8"/>
      <c r="B5" s="8"/>
      <c r="C5" s="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BC5" s="3"/>
      <c r="BD5" s="4"/>
    </row>
    <row r="6" spans="1:56" ht="44.25" customHeight="1" thickBot="1" x14ac:dyDescent="0.3">
      <c r="A6" s="9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22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1" t="s">
        <v>28</v>
      </c>
      <c r="AB6" s="11" t="s">
        <v>29</v>
      </c>
      <c r="AC6" s="11" t="s">
        <v>30</v>
      </c>
      <c r="AD6" s="11" t="s">
        <v>31</v>
      </c>
      <c r="AE6" s="11" t="s">
        <v>32</v>
      </c>
      <c r="AF6" s="11" t="s">
        <v>33</v>
      </c>
      <c r="AG6" s="11" t="s">
        <v>34</v>
      </c>
      <c r="AH6" s="11" t="s">
        <v>35</v>
      </c>
      <c r="AI6" s="11" t="s">
        <v>36</v>
      </c>
      <c r="AJ6" s="11" t="s">
        <v>37</v>
      </c>
      <c r="AK6" s="12" t="s">
        <v>38</v>
      </c>
      <c r="BC6" s="3"/>
    </row>
    <row r="7" spans="1:56" ht="13" x14ac:dyDescent="0.3">
      <c r="A7" s="13">
        <v>3</v>
      </c>
      <c r="B7" s="14"/>
      <c r="C7" s="15"/>
      <c r="D7" s="15"/>
      <c r="E7" s="15"/>
      <c r="F7" s="15"/>
      <c r="G7" s="15"/>
      <c r="H7" s="14"/>
      <c r="I7" s="15"/>
      <c r="J7" s="15"/>
      <c r="K7" s="15"/>
      <c r="L7" s="1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  <c r="BC7" s="3"/>
    </row>
    <row r="8" spans="1:56" ht="13" x14ac:dyDescent="0.3">
      <c r="A8" s="13">
        <v>4</v>
      </c>
      <c r="B8" s="18"/>
      <c r="C8" s="15"/>
      <c r="D8" s="15"/>
      <c r="E8" s="15"/>
      <c r="F8" s="15"/>
      <c r="G8" s="15"/>
      <c r="H8" s="19"/>
      <c r="I8" s="15"/>
      <c r="J8" s="15"/>
      <c r="K8" s="15"/>
      <c r="L8" s="15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6"/>
      <c r="AB8" s="16"/>
      <c r="AC8" s="16"/>
      <c r="AD8" s="16"/>
      <c r="AE8" s="20"/>
      <c r="AF8" s="20"/>
      <c r="AG8" s="20"/>
      <c r="AH8" s="16"/>
      <c r="AI8" s="16"/>
      <c r="AJ8" s="16"/>
      <c r="AK8" s="21"/>
      <c r="BC8" s="3"/>
    </row>
    <row r="9" spans="1:56" ht="14.5" x14ac:dyDescent="0.35">
      <c r="A9" s="13">
        <v>10</v>
      </c>
      <c r="B9" s="15"/>
      <c r="C9" s="15"/>
      <c r="D9" s="15"/>
      <c r="E9" s="15"/>
      <c r="F9" s="15"/>
      <c r="G9" s="15"/>
      <c r="H9" s="14"/>
      <c r="I9"/>
      <c r="J9" s="15"/>
      <c r="K9" s="15"/>
      <c r="L9" s="15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16"/>
      <c r="AB9" s="16"/>
      <c r="AC9" s="16"/>
      <c r="AD9" s="16"/>
      <c r="AE9" s="24"/>
      <c r="AF9" s="24"/>
      <c r="AG9" s="24"/>
      <c r="AH9" s="16"/>
      <c r="AI9" s="16"/>
      <c r="AJ9" s="16"/>
      <c r="AK9" s="25"/>
      <c r="BC9" s="3"/>
    </row>
    <row r="10" spans="1:56" ht="13" x14ac:dyDescent="0.3">
      <c r="A10" s="13">
        <v>20</v>
      </c>
      <c r="B10" s="18"/>
      <c r="C10" s="15"/>
      <c r="D10" s="15"/>
      <c r="E10" s="15"/>
      <c r="F10" s="15"/>
      <c r="G10" s="15"/>
      <c r="H10" s="14"/>
      <c r="I10" s="15"/>
      <c r="J10" s="15"/>
      <c r="K10" s="15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7"/>
      <c r="BC10" s="3"/>
    </row>
    <row r="11" spans="1:56" ht="13" x14ac:dyDescent="0.3">
      <c r="A11" s="13">
        <v>26</v>
      </c>
      <c r="B11" s="18"/>
      <c r="C11" s="15"/>
      <c r="D11" s="15"/>
      <c r="E11" s="15"/>
      <c r="F11" s="15"/>
      <c r="G11" s="15"/>
      <c r="H11" s="14"/>
      <c r="I11" s="15"/>
      <c r="J11" s="15"/>
      <c r="K11" s="15"/>
      <c r="L11" s="1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BC11" s="3"/>
    </row>
    <row r="12" spans="1:56" ht="13" x14ac:dyDescent="0.3">
      <c r="A12" s="13">
        <v>30</v>
      </c>
      <c r="B12" s="18"/>
      <c r="C12" s="26">
        <v>924.94</v>
      </c>
      <c r="D12" s="15"/>
      <c r="E12" s="15"/>
      <c r="F12" s="15"/>
      <c r="G12" s="15"/>
      <c r="H12" s="14"/>
      <c r="I12" s="15"/>
      <c r="J12" s="15"/>
      <c r="K12" s="15"/>
      <c r="L12" s="1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27">
        <v>-3254.4894185119001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7"/>
      <c r="BC12" s="3"/>
    </row>
    <row r="13" spans="1:56" ht="13" x14ac:dyDescent="0.3">
      <c r="A13" s="13">
        <v>33</v>
      </c>
      <c r="B13" s="18"/>
      <c r="C13" s="15"/>
      <c r="D13" s="15"/>
      <c r="E13" s="15"/>
      <c r="F13" s="15"/>
      <c r="G13" s="15"/>
      <c r="H13" s="14"/>
      <c r="I13" s="15"/>
      <c r="J13" s="15"/>
      <c r="K13" s="15"/>
      <c r="L13" s="1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BC13" s="3"/>
    </row>
    <row r="14" spans="1:56" ht="13" x14ac:dyDescent="0.3">
      <c r="A14" s="13">
        <v>36</v>
      </c>
      <c r="B14" s="18"/>
      <c r="C14" s="15"/>
      <c r="D14" s="15"/>
      <c r="E14" s="15"/>
      <c r="F14" s="15"/>
      <c r="G14" s="15"/>
      <c r="H14" s="14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7"/>
      <c r="BC14" s="3"/>
    </row>
    <row r="15" spans="1:56" ht="13" x14ac:dyDescent="0.3">
      <c r="A15" s="13">
        <v>37</v>
      </c>
      <c r="B15" s="18"/>
      <c r="C15" s="15"/>
      <c r="D15" s="15"/>
      <c r="E15" s="15"/>
      <c r="F15" s="15"/>
      <c r="G15" s="15"/>
      <c r="H15" s="14"/>
      <c r="I15" s="15"/>
      <c r="J15" s="15"/>
      <c r="K15" s="15"/>
      <c r="L15" s="1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BC15" s="3"/>
    </row>
    <row r="16" spans="1:56" ht="13" x14ac:dyDescent="0.3">
      <c r="A16" s="13">
        <v>38</v>
      </c>
      <c r="B16" s="18"/>
      <c r="C16" s="15"/>
      <c r="D16" s="15"/>
      <c r="E16" s="15"/>
      <c r="F16" s="15"/>
      <c r="G16" s="15"/>
      <c r="H16" s="14"/>
      <c r="I16" s="15"/>
      <c r="J16" s="15"/>
      <c r="K16" s="15"/>
      <c r="L16" s="1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BC16" s="3"/>
    </row>
    <row r="17" spans="1:55" ht="13" x14ac:dyDescent="0.3">
      <c r="A17" s="13">
        <v>39</v>
      </c>
      <c r="B17" s="18"/>
      <c r="C17" s="15"/>
      <c r="D17" s="15"/>
      <c r="E17" s="15"/>
      <c r="F17" s="15"/>
      <c r="G17" s="15"/>
      <c r="H17" s="14"/>
      <c r="I17" s="15"/>
      <c r="J17" s="15"/>
      <c r="K17" s="15"/>
      <c r="L17" s="1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7"/>
      <c r="BC17" s="3"/>
    </row>
    <row r="18" spans="1:55" ht="13" x14ac:dyDescent="0.3">
      <c r="A18" s="13">
        <v>44</v>
      </c>
      <c r="B18" s="18"/>
      <c r="C18" s="15"/>
      <c r="D18" s="15"/>
      <c r="E18" s="15"/>
      <c r="F18" s="15"/>
      <c r="G18" s="15"/>
      <c r="H18" s="14"/>
      <c r="I18" s="15"/>
      <c r="J18" s="15"/>
      <c r="K18" s="15"/>
      <c r="L18" s="1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BC18" s="3"/>
    </row>
    <row r="19" spans="1:55" ht="13" x14ac:dyDescent="0.3">
      <c r="A19" s="13">
        <v>45</v>
      </c>
      <c r="B19" s="18"/>
      <c r="C19" s="15"/>
      <c r="D19" s="15"/>
      <c r="E19" s="15"/>
      <c r="F19" s="15"/>
      <c r="G19" s="15"/>
      <c r="H19" s="14"/>
      <c r="I19" s="15"/>
      <c r="J19" s="15"/>
      <c r="K19" s="15"/>
      <c r="L19" s="1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BC19" s="3"/>
    </row>
    <row r="20" spans="1:55" ht="13" x14ac:dyDescent="0.3">
      <c r="A20" s="13">
        <v>50</v>
      </c>
      <c r="B20" s="18"/>
      <c r="C20" s="15"/>
      <c r="D20" s="15"/>
      <c r="E20" s="15"/>
      <c r="F20" s="15"/>
      <c r="G20" s="15"/>
      <c r="H20" s="14"/>
      <c r="I20" s="15"/>
      <c r="J20" s="15"/>
      <c r="K20" s="15"/>
      <c r="L20" s="1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BC20" s="3"/>
    </row>
    <row r="21" spans="1:55" ht="13" x14ac:dyDescent="0.3">
      <c r="A21" s="13">
        <v>56</v>
      </c>
      <c r="B21" s="18"/>
      <c r="C21" s="15"/>
      <c r="D21" s="15"/>
      <c r="E21" s="15"/>
      <c r="F21" s="15"/>
      <c r="G21" s="15"/>
      <c r="H21" s="14"/>
      <c r="I21" s="15"/>
      <c r="J21" s="15"/>
      <c r="K21" s="15"/>
      <c r="L21" s="1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BC21" s="3"/>
    </row>
    <row r="22" spans="1:55" ht="13" x14ac:dyDescent="0.3">
      <c r="A22" s="13">
        <v>60</v>
      </c>
      <c r="B22" s="18"/>
      <c r="C22" s="15"/>
      <c r="D22" s="15"/>
      <c r="E22" s="15"/>
      <c r="F22" s="15"/>
      <c r="G22" s="15"/>
      <c r="H22" s="14"/>
      <c r="I22" s="15"/>
      <c r="J22" s="15"/>
      <c r="K22" s="15"/>
      <c r="L22" s="1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/>
      <c r="BC22" s="3"/>
    </row>
    <row r="23" spans="1:55" ht="13" x14ac:dyDescent="0.3">
      <c r="A23" s="13">
        <v>64</v>
      </c>
      <c r="B23" s="18"/>
      <c r="C23" s="15"/>
      <c r="D23" s="15"/>
      <c r="E23" s="15"/>
      <c r="F23" s="15"/>
      <c r="G23" s="15"/>
      <c r="H23" s="19"/>
      <c r="I23" s="15"/>
      <c r="J23" s="15"/>
      <c r="K23" s="15"/>
      <c r="L23" s="1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6"/>
      <c r="AB23" s="16"/>
      <c r="AC23" s="16"/>
      <c r="AD23" s="16"/>
      <c r="AE23" s="20"/>
      <c r="AF23" s="20"/>
      <c r="AG23" s="20"/>
      <c r="AH23" s="16"/>
      <c r="AI23" s="16"/>
      <c r="AJ23" s="16"/>
      <c r="AK23" s="21"/>
      <c r="BC23" s="3"/>
    </row>
    <row r="24" spans="1:55" ht="13" x14ac:dyDescent="0.3">
      <c r="A24" s="13">
        <v>66</v>
      </c>
      <c r="B24" s="18"/>
      <c r="C24" s="15"/>
      <c r="D24" s="15"/>
      <c r="E24" s="15"/>
      <c r="F24" s="15"/>
      <c r="G24" s="15"/>
      <c r="H24" s="14"/>
      <c r="I24" s="15"/>
      <c r="J24" s="15"/>
      <c r="K24" s="15"/>
      <c r="L24" s="1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6"/>
      <c r="AB24" s="16"/>
      <c r="AC24" s="16"/>
      <c r="AD24" s="16"/>
      <c r="AE24" s="20"/>
      <c r="AF24" s="20"/>
      <c r="AG24" s="20"/>
      <c r="AH24" s="16"/>
      <c r="AI24" s="16"/>
      <c r="AJ24" s="16"/>
      <c r="AK24" s="21"/>
      <c r="BC24" s="3"/>
    </row>
    <row r="25" spans="1:55" ht="13" x14ac:dyDescent="0.3">
      <c r="A25" s="13">
        <v>68</v>
      </c>
      <c r="B25" s="18"/>
      <c r="C25" s="15"/>
      <c r="D25" s="15"/>
      <c r="E25" s="15"/>
      <c r="F25" s="15"/>
      <c r="G25" s="15"/>
      <c r="H25" s="14"/>
      <c r="I25" s="15"/>
      <c r="J25" s="15"/>
      <c r="K25" s="15"/>
      <c r="L25" s="1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BC25" s="3"/>
    </row>
    <row r="26" spans="1:55" ht="13" x14ac:dyDescent="0.3">
      <c r="A26" s="13">
        <v>70</v>
      </c>
      <c r="B26" s="18"/>
      <c r="C26" s="15"/>
      <c r="D26" s="15"/>
      <c r="E26" s="15"/>
      <c r="F26" s="15"/>
      <c r="G26" s="15"/>
      <c r="H26" s="14"/>
      <c r="I26" s="15"/>
      <c r="J26" s="15"/>
      <c r="K26" s="15"/>
      <c r="L26" s="1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7"/>
      <c r="BC26" s="3"/>
    </row>
    <row r="27" spans="1:55" ht="13" x14ac:dyDescent="0.3">
      <c r="A27" s="13">
        <v>78</v>
      </c>
      <c r="B27" s="18"/>
      <c r="C27" s="15"/>
      <c r="D27" s="15"/>
      <c r="E27" s="15"/>
      <c r="F27" s="15"/>
      <c r="G27" s="15"/>
      <c r="H27" s="14"/>
      <c r="I27" s="15"/>
      <c r="J27" s="15"/>
      <c r="K27" s="15"/>
      <c r="L27" s="1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/>
      <c r="BC27" s="3"/>
    </row>
    <row r="28" spans="1:55" ht="13" x14ac:dyDescent="0.3">
      <c r="A28" s="13">
        <v>452</v>
      </c>
      <c r="B28" s="18"/>
      <c r="C28" s="15"/>
      <c r="D28" s="15"/>
      <c r="E28" s="15"/>
      <c r="F28" s="15"/>
      <c r="G28" s="15"/>
      <c r="H28" s="14"/>
      <c r="I28" s="15"/>
      <c r="J28" s="15"/>
      <c r="K28" s="15"/>
      <c r="L28" s="1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/>
      <c r="BC28" s="3"/>
    </row>
    <row r="29" spans="1:55" ht="13" x14ac:dyDescent="0.3">
      <c r="A29" s="13">
        <v>453</v>
      </c>
      <c r="B29" s="14"/>
      <c r="C29" s="15"/>
      <c r="D29" s="15"/>
      <c r="E29" s="15"/>
      <c r="F29" s="15"/>
      <c r="G29" s="15"/>
      <c r="H29" s="14"/>
      <c r="I29" s="15"/>
      <c r="J29" s="15"/>
      <c r="K29" s="15"/>
      <c r="L29" s="1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/>
      <c r="BC29" s="3"/>
    </row>
    <row r="30" spans="1:55" ht="13" x14ac:dyDescent="0.3">
      <c r="A30" s="13">
        <v>454</v>
      </c>
      <c r="B30" s="14"/>
      <c r="C30" s="15"/>
      <c r="D30" s="15"/>
      <c r="E30" s="15"/>
      <c r="F30" s="15"/>
      <c r="G30" s="15"/>
      <c r="H30" s="14"/>
      <c r="I30" s="15"/>
      <c r="J30" s="15"/>
      <c r="K30" s="15"/>
      <c r="L30" s="1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/>
      <c r="BC30" s="3"/>
    </row>
    <row r="31" spans="1:55" ht="13" x14ac:dyDescent="0.3">
      <c r="A31" s="13">
        <v>455</v>
      </c>
      <c r="B31" s="14"/>
      <c r="C31" s="15"/>
      <c r="D31" s="15"/>
      <c r="E31" s="15"/>
      <c r="F31" s="15"/>
      <c r="G31" s="15"/>
      <c r="H31" s="14"/>
      <c r="I31" s="15"/>
      <c r="J31" s="15"/>
      <c r="K31" s="15"/>
      <c r="L31" s="1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/>
      <c r="BC31" s="3"/>
    </row>
    <row r="32" spans="1:55" ht="13" x14ac:dyDescent="0.3">
      <c r="A32" s="13">
        <v>456</v>
      </c>
      <c r="B32" s="14"/>
      <c r="C32" s="15"/>
      <c r="D32" s="15"/>
      <c r="E32" s="15"/>
      <c r="F32" s="15"/>
      <c r="G32" s="15"/>
      <c r="H32" s="14"/>
      <c r="I32" s="15"/>
      <c r="J32" s="15"/>
      <c r="K32" s="15"/>
      <c r="L32" s="1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/>
      <c r="BC32" s="3"/>
    </row>
    <row r="33" spans="1:55" ht="13" x14ac:dyDescent="0.3">
      <c r="A33" s="13">
        <v>457</v>
      </c>
      <c r="B33" s="14"/>
      <c r="C33" s="15"/>
      <c r="D33" s="15"/>
      <c r="E33" s="15"/>
      <c r="F33" s="15"/>
      <c r="G33" s="15"/>
      <c r="H33" s="14"/>
      <c r="I33" s="15"/>
      <c r="J33" s="15"/>
      <c r="K33" s="15"/>
      <c r="L33" s="1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/>
      <c r="BC33" s="3"/>
    </row>
    <row r="34" spans="1:55" ht="13" x14ac:dyDescent="0.3">
      <c r="A34" s="28">
        <v>11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1"/>
      <c r="BC34" s="3"/>
    </row>
    <row r="35" spans="1:55" ht="13" x14ac:dyDescent="0.3">
      <c r="A35" s="32">
        <v>916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1"/>
      <c r="BC35" s="3"/>
    </row>
    <row r="36" spans="1:55" ht="13" x14ac:dyDescent="0.3">
      <c r="A36" s="13">
        <v>921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33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/>
      <c r="BC36" s="3"/>
    </row>
    <row r="37" spans="1:55" ht="13" x14ac:dyDescent="0.3">
      <c r="A37" s="13">
        <v>927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/>
      <c r="BC37" s="3"/>
    </row>
    <row r="38" spans="1:55" ht="13" x14ac:dyDescent="0.3">
      <c r="A38" s="13">
        <v>928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/>
      <c r="BC38" s="3"/>
    </row>
    <row r="39" spans="1:55" ht="13" x14ac:dyDescent="0.3">
      <c r="A39" s="13">
        <v>931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BC39" s="3"/>
    </row>
    <row r="40" spans="1:55" ht="13" x14ac:dyDescent="0.3">
      <c r="A40" s="13">
        <v>934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/>
      <c r="BC40" s="3"/>
    </row>
    <row r="41" spans="1:55" ht="13" x14ac:dyDescent="0.3">
      <c r="A41" s="13">
        <v>941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/>
      <c r="BC41" s="3"/>
    </row>
    <row r="42" spans="1:55" ht="13" x14ac:dyDescent="0.3">
      <c r="A42" s="13">
        <v>943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/>
      <c r="BC42" s="3"/>
    </row>
    <row r="43" spans="1:55" ht="13" x14ac:dyDescent="0.3">
      <c r="A43" s="13">
        <v>948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/>
      <c r="BC43" s="3"/>
    </row>
    <row r="44" spans="1:55" ht="13" x14ac:dyDescent="0.3">
      <c r="A44" s="13">
        <v>951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/>
      <c r="BC44" s="3"/>
    </row>
    <row r="45" spans="1:55" ht="13" x14ac:dyDescent="0.3">
      <c r="A45" s="13">
        <v>953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BC45" s="3"/>
    </row>
    <row r="46" spans="1:55" ht="13" x14ac:dyDescent="0.3">
      <c r="A46" s="13">
        <v>960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BC46" s="3"/>
    </row>
    <row r="47" spans="1:55" ht="13" x14ac:dyDescent="0.3">
      <c r="A47" s="13">
        <v>961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/>
      <c r="BC47" s="3"/>
    </row>
    <row r="48" spans="1:55" ht="13" x14ac:dyDescent="0.3">
      <c r="A48" s="13">
        <v>963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/>
      <c r="BC48" s="3"/>
    </row>
    <row r="49" spans="1:55" ht="13" x14ac:dyDescent="0.3">
      <c r="A49" s="13">
        <v>964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BC49" s="3"/>
    </row>
    <row r="50" spans="1:55" ht="13" x14ac:dyDescent="0.3">
      <c r="A50" s="13">
        <v>965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/>
      <c r="BC50" s="3"/>
    </row>
    <row r="51" spans="1:55" ht="13" x14ac:dyDescent="0.3">
      <c r="A51" s="13">
        <v>966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/>
      <c r="BC51" s="3"/>
    </row>
    <row r="52" spans="1:55" ht="13" x14ac:dyDescent="0.3">
      <c r="A52" s="13">
        <v>967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/>
      <c r="BC52" s="3"/>
    </row>
    <row r="53" spans="1:55" ht="13" x14ac:dyDescent="0.3">
      <c r="A53" s="13">
        <v>968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/>
      <c r="BC53" s="3"/>
    </row>
    <row r="54" spans="1:55" ht="13" x14ac:dyDescent="0.3">
      <c r="A54" s="13">
        <v>969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BC54" s="3"/>
    </row>
    <row r="55" spans="1:55" ht="13" x14ac:dyDescent="0.3">
      <c r="A55" s="13">
        <v>971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/>
      <c r="BC55" s="3"/>
    </row>
    <row r="56" spans="1:55" ht="13" x14ac:dyDescent="0.3">
      <c r="A56" s="13">
        <v>979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/>
      <c r="BC56" s="3"/>
    </row>
    <row r="57" spans="1:55" ht="13" x14ac:dyDescent="0.3">
      <c r="A57" s="13">
        <v>981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BC57" s="3"/>
    </row>
    <row r="58" spans="1:55" ht="14.25" customHeight="1" x14ac:dyDescent="0.3">
      <c r="A58" s="13">
        <v>982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/>
      <c r="BC58" s="3"/>
    </row>
    <row r="59" spans="1:55" ht="13" x14ac:dyDescent="0.3">
      <c r="A59" s="13">
        <v>983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/>
      <c r="BC59" s="3"/>
    </row>
    <row r="60" spans="1:55" ht="13" x14ac:dyDescent="0.3">
      <c r="A60" s="13">
        <v>984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/>
      <c r="BC60" s="3"/>
    </row>
    <row r="61" spans="1:55" ht="13" x14ac:dyDescent="0.3">
      <c r="A61" s="13">
        <v>985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/>
      <c r="BC61" s="3"/>
    </row>
    <row r="62" spans="1:55" ht="13" x14ac:dyDescent="0.3">
      <c r="A62" s="13">
        <v>986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/>
      <c r="BC62" s="3"/>
    </row>
    <row r="63" spans="1:55" ht="13" x14ac:dyDescent="0.3">
      <c r="A63" s="13">
        <v>991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BC63" s="3"/>
    </row>
    <row r="64" spans="1:55" ht="13" x14ac:dyDescent="0.3">
      <c r="A64" s="13">
        <v>992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7"/>
      <c r="BC64" s="3"/>
    </row>
    <row r="65" spans="1:55" ht="13" x14ac:dyDescent="0.3">
      <c r="A65" s="13">
        <v>995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7"/>
      <c r="BC65" s="3"/>
    </row>
    <row r="66" spans="1:55" ht="13" x14ac:dyDescent="0.3">
      <c r="A66" s="13">
        <v>996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7"/>
      <c r="BC66" s="3"/>
    </row>
    <row r="67" spans="1:55" ht="13.5" thickBot="1" x14ac:dyDescent="0.35">
      <c r="A67" s="34">
        <v>998</v>
      </c>
      <c r="B67" s="35"/>
      <c r="C67" s="14"/>
      <c r="D67" s="14"/>
      <c r="E67" s="14"/>
      <c r="F67" s="14"/>
      <c r="G67" s="14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6"/>
      <c r="AB67" s="16"/>
      <c r="AC67" s="36"/>
      <c r="AD67" s="36"/>
      <c r="AE67" s="36"/>
      <c r="AF67" s="36"/>
      <c r="AG67" s="36"/>
      <c r="AH67" s="16"/>
      <c r="AI67" s="16"/>
      <c r="AJ67" s="16"/>
      <c r="AK67" s="37"/>
      <c r="BC67" s="3"/>
    </row>
    <row r="68" spans="1:55" ht="13.5" thickTop="1" x14ac:dyDescent="0.3">
      <c r="A68" s="38" t="s">
        <v>39</v>
      </c>
      <c r="B68" s="39">
        <f>SUM(B7:B67)</f>
        <v>0</v>
      </c>
      <c r="C68" s="39">
        <f t="shared" ref="C68:AK68" si="0">SUM(C7:C67)</f>
        <v>924.94</v>
      </c>
      <c r="D68" s="39">
        <f>SUM(D7:D67)</f>
        <v>0</v>
      </c>
      <c r="E68" s="39">
        <f>SUM(E7:E67)</f>
        <v>0</v>
      </c>
      <c r="F68" s="39">
        <f>SUM(F7:F67)</f>
        <v>0</v>
      </c>
      <c r="G68" s="39">
        <f>SUM(G7:G67)</f>
        <v>0</v>
      </c>
      <c r="H68" s="39">
        <f>SUM(H7:H67)</f>
        <v>0</v>
      </c>
      <c r="I68" s="39">
        <f t="shared" si="0"/>
        <v>0</v>
      </c>
      <c r="J68" s="39">
        <f t="shared" si="0"/>
        <v>0</v>
      </c>
      <c r="K68" s="39">
        <f t="shared" si="0"/>
        <v>0</v>
      </c>
      <c r="L68" s="39">
        <f t="shared" si="0"/>
        <v>0</v>
      </c>
      <c r="M68" s="39">
        <f t="shared" si="0"/>
        <v>0</v>
      </c>
      <c r="N68" s="39">
        <f t="shared" si="0"/>
        <v>0</v>
      </c>
      <c r="O68" s="39">
        <f t="shared" si="0"/>
        <v>0</v>
      </c>
      <c r="P68" s="39">
        <f t="shared" si="0"/>
        <v>0</v>
      </c>
      <c r="Q68" s="39">
        <f t="shared" si="0"/>
        <v>0</v>
      </c>
      <c r="R68" s="39">
        <f t="shared" si="0"/>
        <v>0</v>
      </c>
      <c r="S68" s="39">
        <f t="shared" si="0"/>
        <v>0</v>
      </c>
      <c r="T68" s="39">
        <f t="shared" si="0"/>
        <v>0</v>
      </c>
      <c r="U68" s="39">
        <f t="shared" si="0"/>
        <v>0</v>
      </c>
      <c r="V68" s="39">
        <f t="shared" si="0"/>
        <v>0</v>
      </c>
      <c r="W68" s="39">
        <f t="shared" si="0"/>
        <v>0</v>
      </c>
      <c r="X68" s="39">
        <f t="shared" si="0"/>
        <v>0</v>
      </c>
      <c r="Y68" s="39">
        <f t="shared" si="0"/>
        <v>0</v>
      </c>
      <c r="Z68" s="39">
        <f t="shared" si="0"/>
        <v>0</v>
      </c>
      <c r="AA68" s="40">
        <f t="shared" si="0"/>
        <v>-3254.4894185119001</v>
      </c>
      <c r="AB68" s="40">
        <f t="shared" si="0"/>
        <v>0</v>
      </c>
      <c r="AC68" s="40">
        <f t="shared" si="0"/>
        <v>0</v>
      </c>
      <c r="AD68" s="40">
        <f t="shared" si="0"/>
        <v>0</v>
      </c>
      <c r="AE68" s="40">
        <f t="shared" si="0"/>
        <v>0</v>
      </c>
      <c r="AF68" s="40">
        <f t="shared" si="0"/>
        <v>0</v>
      </c>
      <c r="AG68" s="40">
        <f t="shared" si="0"/>
        <v>0</v>
      </c>
      <c r="AH68" s="40">
        <f t="shared" si="0"/>
        <v>0</v>
      </c>
      <c r="AI68" s="40">
        <f t="shared" si="0"/>
        <v>0</v>
      </c>
      <c r="AJ68" s="40">
        <f t="shared" si="0"/>
        <v>0</v>
      </c>
      <c r="AK68" s="41">
        <f t="shared" si="0"/>
        <v>0</v>
      </c>
      <c r="BC68" s="3"/>
    </row>
    <row r="69" spans="1:55" ht="13" x14ac:dyDescent="0.3">
      <c r="A69" s="42" t="s">
        <v>40</v>
      </c>
      <c r="B69" s="43">
        <f>SUM(B7:B33)</f>
        <v>0</v>
      </c>
      <c r="C69" s="43">
        <f t="shared" ref="C69:AK69" si="1">SUM(C7:C33)</f>
        <v>924.94</v>
      </c>
      <c r="D69" s="43">
        <f>SUM(D7:D33)</f>
        <v>0</v>
      </c>
      <c r="E69" s="43">
        <f>SUM(E7:E33)</f>
        <v>0</v>
      </c>
      <c r="F69" s="43">
        <f>SUM(F7:F33)</f>
        <v>0</v>
      </c>
      <c r="G69" s="43">
        <f>SUM(G7:G33)</f>
        <v>0</v>
      </c>
      <c r="H69" s="43">
        <f>SUM(H7:H33)</f>
        <v>0</v>
      </c>
      <c r="I69" s="43">
        <f t="shared" si="1"/>
        <v>0</v>
      </c>
      <c r="J69" s="43">
        <f t="shared" si="1"/>
        <v>0</v>
      </c>
      <c r="K69" s="43">
        <f t="shared" si="1"/>
        <v>0</v>
      </c>
      <c r="L69" s="43">
        <f t="shared" si="1"/>
        <v>0</v>
      </c>
      <c r="M69" s="43">
        <f t="shared" si="1"/>
        <v>0</v>
      </c>
      <c r="N69" s="43">
        <f t="shared" si="1"/>
        <v>0</v>
      </c>
      <c r="O69" s="43">
        <f t="shared" si="1"/>
        <v>0</v>
      </c>
      <c r="P69" s="43">
        <f t="shared" si="1"/>
        <v>0</v>
      </c>
      <c r="Q69" s="43">
        <f t="shared" si="1"/>
        <v>0</v>
      </c>
      <c r="R69" s="43">
        <f t="shared" si="1"/>
        <v>0</v>
      </c>
      <c r="S69" s="43">
        <f t="shared" si="1"/>
        <v>0</v>
      </c>
      <c r="T69" s="43">
        <f t="shared" si="1"/>
        <v>0</v>
      </c>
      <c r="U69" s="43">
        <f t="shared" si="1"/>
        <v>0</v>
      </c>
      <c r="V69" s="43">
        <f t="shared" si="1"/>
        <v>0</v>
      </c>
      <c r="W69" s="43">
        <f t="shared" si="1"/>
        <v>0</v>
      </c>
      <c r="X69" s="43">
        <f t="shared" si="1"/>
        <v>0</v>
      </c>
      <c r="Y69" s="43">
        <f t="shared" si="1"/>
        <v>0</v>
      </c>
      <c r="Z69" s="43">
        <f t="shared" si="1"/>
        <v>0</v>
      </c>
      <c r="AA69" s="44">
        <f t="shared" si="1"/>
        <v>-3254.4894185119001</v>
      </c>
      <c r="AB69" s="44">
        <f t="shared" si="1"/>
        <v>0</v>
      </c>
      <c r="AC69" s="44">
        <f t="shared" si="1"/>
        <v>0</v>
      </c>
      <c r="AD69" s="44">
        <f t="shared" si="1"/>
        <v>0</v>
      </c>
      <c r="AE69" s="44">
        <f t="shared" si="1"/>
        <v>0</v>
      </c>
      <c r="AF69" s="44">
        <f t="shared" si="1"/>
        <v>0</v>
      </c>
      <c r="AG69" s="44">
        <f t="shared" si="1"/>
        <v>0</v>
      </c>
      <c r="AH69" s="44">
        <f t="shared" si="1"/>
        <v>0</v>
      </c>
      <c r="AI69" s="44">
        <f t="shared" si="1"/>
        <v>0</v>
      </c>
      <c r="AJ69" s="44">
        <f t="shared" si="1"/>
        <v>0</v>
      </c>
      <c r="AK69" s="45">
        <f t="shared" si="1"/>
        <v>0</v>
      </c>
      <c r="BC69" s="3"/>
    </row>
    <row r="70" spans="1:55" ht="13" x14ac:dyDescent="0.3">
      <c r="A70" s="46" t="s">
        <v>41</v>
      </c>
      <c r="B70" s="47">
        <f>B34+B35</f>
        <v>0</v>
      </c>
      <c r="C70" s="47">
        <f t="shared" ref="C70:AK70" si="2">C34+C35</f>
        <v>0</v>
      </c>
      <c r="D70" s="47">
        <f>D34+D35</f>
        <v>0</v>
      </c>
      <c r="E70" s="47">
        <f>E34+E35</f>
        <v>0</v>
      </c>
      <c r="F70" s="47">
        <f>F34+F35</f>
        <v>0</v>
      </c>
      <c r="G70" s="47">
        <f>G34+G35</f>
        <v>0</v>
      </c>
      <c r="H70" s="47">
        <f>H34+H35</f>
        <v>0</v>
      </c>
      <c r="I70" s="47">
        <f t="shared" si="2"/>
        <v>0</v>
      </c>
      <c r="J70" s="47">
        <f t="shared" si="2"/>
        <v>0</v>
      </c>
      <c r="K70" s="47">
        <f t="shared" si="2"/>
        <v>0</v>
      </c>
      <c r="L70" s="47">
        <f t="shared" si="2"/>
        <v>0</v>
      </c>
      <c r="M70" s="47">
        <f t="shared" si="2"/>
        <v>0</v>
      </c>
      <c r="N70" s="47">
        <f t="shared" si="2"/>
        <v>0</v>
      </c>
      <c r="O70" s="47">
        <f t="shared" si="2"/>
        <v>0</v>
      </c>
      <c r="P70" s="47">
        <f t="shared" si="2"/>
        <v>0</v>
      </c>
      <c r="Q70" s="47">
        <f t="shared" si="2"/>
        <v>0</v>
      </c>
      <c r="R70" s="47">
        <f t="shared" si="2"/>
        <v>0</v>
      </c>
      <c r="S70" s="47">
        <f t="shared" si="2"/>
        <v>0</v>
      </c>
      <c r="T70" s="47">
        <f t="shared" si="2"/>
        <v>0</v>
      </c>
      <c r="U70" s="47">
        <f t="shared" si="2"/>
        <v>0</v>
      </c>
      <c r="V70" s="47">
        <f t="shared" si="2"/>
        <v>0</v>
      </c>
      <c r="W70" s="47">
        <f t="shared" si="2"/>
        <v>0</v>
      </c>
      <c r="X70" s="47">
        <f t="shared" si="2"/>
        <v>0</v>
      </c>
      <c r="Y70" s="47">
        <f t="shared" si="2"/>
        <v>0</v>
      </c>
      <c r="Z70" s="47">
        <f t="shared" si="2"/>
        <v>0</v>
      </c>
      <c r="AA70" s="48">
        <f t="shared" si="2"/>
        <v>0</v>
      </c>
      <c r="AB70" s="48">
        <f t="shared" si="2"/>
        <v>0</v>
      </c>
      <c r="AC70" s="48">
        <f t="shared" si="2"/>
        <v>0</v>
      </c>
      <c r="AD70" s="48">
        <f t="shared" si="2"/>
        <v>0</v>
      </c>
      <c r="AE70" s="48">
        <f t="shared" si="2"/>
        <v>0</v>
      </c>
      <c r="AF70" s="48">
        <f t="shared" si="2"/>
        <v>0</v>
      </c>
      <c r="AG70" s="48">
        <f t="shared" si="2"/>
        <v>0</v>
      </c>
      <c r="AH70" s="48">
        <f t="shared" si="2"/>
        <v>0</v>
      </c>
      <c r="AI70" s="48">
        <f t="shared" si="2"/>
        <v>0</v>
      </c>
      <c r="AJ70" s="48">
        <f t="shared" si="2"/>
        <v>0</v>
      </c>
      <c r="AK70" s="49">
        <f t="shared" si="2"/>
        <v>0</v>
      </c>
      <c r="BC70" s="3"/>
    </row>
    <row r="71" spans="1:55" ht="13" x14ac:dyDescent="0.3">
      <c r="A71" s="46" t="s">
        <v>42</v>
      </c>
      <c r="B71" s="47">
        <f>SUM(B36:B67)</f>
        <v>0</v>
      </c>
      <c r="C71" s="47">
        <f t="shared" ref="C71:AK71" si="3">SUM(C36:C67)</f>
        <v>0</v>
      </c>
      <c r="D71" s="47">
        <f>SUM(D36:D67)</f>
        <v>0</v>
      </c>
      <c r="E71" s="47">
        <f>SUM(E36:E67)</f>
        <v>0</v>
      </c>
      <c r="F71" s="47">
        <f>SUM(F36:F67)</f>
        <v>0</v>
      </c>
      <c r="G71" s="47">
        <f>SUM(G36:G67)</f>
        <v>0</v>
      </c>
      <c r="H71" s="47">
        <f>SUM(H36:H67)</f>
        <v>0</v>
      </c>
      <c r="I71" s="47">
        <f t="shared" si="3"/>
        <v>0</v>
      </c>
      <c r="J71" s="47">
        <f t="shared" si="3"/>
        <v>0</v>
      </c>
      <c r="K71" s="47">
        <f t="shared" si="3"/>
        <v>0</v>
      </c>
      <c r="L71" s="47">
        <f t="shared" si="3"/>
        <v>0</v>
      </c>
      <c r="M71" s="47">
        <f t="shared" si="3"/>
        <v>0</v>
      </c>
      <c r="N71" s="47">
        <f t="shared" si="3"/>
        <v>0</v>
      </c>
      <c r="O71" s="47">
        <f t="shared" si="3"/>
        <v>0</v>
      </c>
      <c r="P71" s="47">
        <f t="shared" si="3"/>
        <v>0</v>
      </c>
      <c r="Q71" s="47">
        <f t="shared" si="3"/>
        <v>0</v>
      </c>
      <c r="R71" s="47">
        <f t="shared" si="3"/>
        <v>0</v>
      </c>
      <c r="S71" s="47">
        <f t="shared" si="3"/>
        <v>0</v>
      </c>
      <c r="T71" s="47">
        <f t="shared" si="3"/>
        <v>0</v>
      </c>
      <c r="U71" s="47">
        <f t="shared" si="3"/>
        <v>0</v>
      </c>
      <c r="V71" s="47">
        <f t="shared" si="3"/>
        <v>0</v>
      </c>
      <c r="W71" s="47">
        <f t="shared" si="3"/>
        <v>0</v>
      </c>
      <c r="X71" s="47">
        <f t="shared" si="3"/>
        <v>0</v>
      </c>
      <c r="Y71" s="47">
        <f t="shared" si="3"/>
        <v>0</v>
      </c>
      <c r="Z71" s="47">
        <f t="shared" si="3"/>
        <v>0</v>
      </c>
      <c r="AA71" s="48">
        <f t="shared" si="3"/>
        <v>0</v>
      </c>
      <c r="AB71" s="48">
        <f t="shared" si="3"/>
        <v>0</v>
      </c>
      <c r="AC71" s="48">
        <f t="shared" si="3"/>
        <v>0</v>
      </c>
      <c r="AD71" s="48">
        <f t="shared" si="3"/>
        <v>0</v>
      </c>
      <c r="AE71" s="48">
        <f t="shared" si="3"/>
        <v>0</v>
      </c>
      <c r="AF71" s="48">
        <f t="shared" si="3"/>
        <v>0</v>
      </c>
      <c r="AG71" s="48">
        <f t="shared" si="3"/>
        <v>0</v>
      </c>
      <c r="AH71" s="48">
        <f t="shared" si="3"/>
        <v>0</v>
      </c>
      <c r="AI71" s="48">
        <f t="shared" si="3"/>
        <v>0</v>
      </c>
      <c r="AJ71" s="48">
        <f t="shared" si="3"/>
        <v>0</v>
      </c>
      <c r="AK71" s="49">
        <f t="shared" si="3"/>
        <v>0</v>
      </c>
      <c r="BC71" s="3"/>
    </row>
    <row r="72" spans="1:55" ht="13" x14ac:dyDescent="0.3">
      <c r="A72" s="50"/>
      <c r="B72" s="50"/>
      <c r="C72" s="50"/>
      <c r="D72" s="50"/>
      <c r="E72" s="50"/>
      <c r="F72" s="50"/>
      <c r="G72" s="50"/>
      <c r="H72" s="50"/>
      <c r="I72" s="1"/>
      <c r="J72" s="1"/>
      <c r="K72" s="1"/>
      <c r="L72" s="1"/>
      <c r="M72" s="1"/>
      <c r="N72" s="1"/>
      <c r="O72" s="8"/>
      <c r="P72" s="8"/>
      <c r="Q72" s="51"/>
      <c r="R72" s="51"/>
      <c r="S72" s="8"/>
      <c r="T72" s="8"/>
      <c r="U72" s="8"/>
      <c r="V72" s="8"/>
      <c r="W72" s="8"/>
      <c r="X72" s="52"/>
      <c r="Y72" s="52"/>
      <c r="Z72" s="52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5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3" t="s">
        <v>43</v>
      </c>
      <c r="P73" s="53"/>
      <c r="Q73" s="53"/>
      <c r="R73" s="53"/>
      <c r="S73" s="53"/>
      <c r="T73" s="53"/>
      <c r="U73" s="53"/>
      <c r="V73" s="53"/>
      <c r="W73" s="53"/>
      <c r="X73" s="52"/>
      <c r="Y73" s="52"/>
      <c r="Z73" s="52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5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4" t="s">
        <v>44</v>
      </c>
      <c r="P74" s="54" t="s">
        <v>45</v>
      </c>
      <c r="Q74" s="54"/>
      <c r="R74" s="54"/>
      <c r="S74" s="54" t="s">
        <v>46</v>
      </c>
      <c r="T74" s="55"/>
      <c r="U74" s="55"/>
      <c r="V74" s="55"/>
      <c r="W74" s="55"/>
      <c r="X74" s="52"/>
      <c r="Y74" s="52"/>
      <c r="Z74" s="52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5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6"/>
      <c r="P75" s="57"/>
      <c r="Q75" s="58" t="s">
        <v>47</v>
      </c>
      <c r="R75" s="58"/>
      <c r="S75" s="57"/>
      <c r="T75" s="59"/>
      <c r="U75" s="59"/>
      <c r="V75" s="59"/>
      <c r="W75" s="59"/>
      <c r="X75" s="52"/>
      <c r="Y75" s="52"/>
      <c r="Z75" s="52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5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6"/>
      <c r="P76" s="58" t="s">
        <v>47</v>
      </c>
      <c r="Q76" s="58" t="s">
        <v>47</v>
      </c>
      <c r="R76" s="58"/>
      <c r="S76" s="60"/>
      <c r="T76" s="61"/>
      <c r="U76" s="61"/>
      <c r="V76" s="61"/>
      <c r="W76" s="61"/>
      <c r="X76" s="52"/>
      <c r="Y76" s="52"/>
      <c r="Z76" s="52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5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6"/>
      <c r="P77" s="58" t="s">
        <v>47</v>
      </c>
      <c r="Q77" s="58" t="s">
        <v>47</v>
      </c>
      <c r="R77" s="58"/>
      <c r="S77" s="60"/>
      <c r="T77" s="61"/>
      <c r="U77" s="61"/>
      <c r="V77" s="61"/>
      <c r="W77" s="61"/>
      <c r="X77" s="52"/>
      <c r="Y77" s="52"/>
      <c r="Z77" s="52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55" ht="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8"/>
      <c r="P78" s="8"/>
      <c r="Q78" s="8"/>
      <c r="R78" s="8"/>
      <c r="S78" s="8"/>
      <c r="T78" s="8"/>
      <c r="U78" s="8"/>
      <c r="V78" s="8"/>
      <c r="W78" s="8"/>
      <c r="X78" s="52"/>
      <c r="Y78" s="52"/>
      <c r="Z78" s="52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5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2" t="s">
        <v>48</v>
      </c>
      <c r="P79" s="62"/>
      <c r="Q79" s="8"/>
      <c r="R79" s="8"/>
      <c r="S79" s="8"/>
      <c r="T79" s="8"/>
      <c r="U79" s="8"/>
      <c r="V79" s="8"/>
      <c r="W79" s="8"/>
      <c r="X79" s="52"/>
      <c r="Y79" s="52"/>
      <c r="Z79" s="52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5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"/>
      <c r="P80" s="8"/>
      <c r="Q80" s="8"/>
      <c r="R80" s="8"/>
      <c r="S80" s="8"/>
      <c r="T80" s="8"/>
      <c r="U80" s="8"/>
      <c r="V80" s="8"/>
      <c r="W80" s="8"/>
      <c r="X80" s="52"/>
      <c r="Y80" s="52"/>
      <c r="Z80" s="52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3" t="s">
        <v>49</v>
      </c>
      <c r="P81" s="64">
        <f>(B68+C68+K68+W68+Y68+I68+M68+O68+Q68+S68+E68+G68+U68)</f>
        <v>924.94</v>
      </c>
      <c r="Q81" s="8"/>
      <c r="R81" s="8"/>
      <c r="S81" s="8"/>
      <c r="T81" s="8"/>
      <c r="U81" s="8"/>
      <c r="V81" s="8"/>
      <c r="W81" s="8"/>
      <c r="X81" s="52"/>
      <c r="Y81" s="52"/>
      <c r="Z81" s="52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3" t="s">
        <v>50</v>
      </c>
      <c r="P82" s="64">
        <f>H68+P68+J68+L68+N68+R68+V68+Z68+X68+D68+F68</f>
        <v>0</v>
      </c>
      <c r="Q82" s="8"/>
      <c r="R82" s="8"/>
      <c r="S82" s="8"/>
      <c r="T82" s="8"/>
      <c r="U82" s="8"/>
      <c r="V82" s="8"/>
      <c r="W82" s="8"/>
      <c r="X82" s="52"/>
      <c r="Y82" s="52"/>
      <c r="Z82" s="5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3" t="s">
        <v>51</v>
      </c>
      <c r="P83" s="64">
        <f>P81+P82</f>
        <v>924.94</v>
      </c>
      <c r="Q83" s="8"/>
      <c r="R83" s="8"/>
      <c r="S83" s="8"/>
      <c r="T83" s="8"/>
      <c r="U83" s="8"/>
      <c r="V83" s="8"/>
      <c r="W83" s="8"/>
      <c r="X83" s="52"/>
      <c r="Y83" s="52"/>
      <c r="Z83" s="52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5"/>
      <c r="P84" s="65"/>
      <c r="Q84" s="8"/>
      <c r="R84" s="8"/>
      <c r="S84" s="8"/>
      <c r="T84" s="8"/>
      <c r="U84" s="8"/>
      <c r="V84" s="8"/>
      <c r="W84" s="8"/>
      <c r="X84" s="52"/>
      <c r="Y84" s="52"/>
      <c r="Z84" s="52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3" t="s">
        <v>52</v>
      </c>
      <c r="P85" s="64">
        <f>SUM(AA68,AC68,AE68,AG68,AI68,AJ68)</f>
        <v>-3254.4894185119001</v>
      </c>
      <c r="Q85" s="8"/>
      <c r="R85" s="8"/>
      <c r="S85" s="8"/>
      <c r="T85" s="8"/>
      <c r="U85" s="8"/>
      <c r="V85" s="8"/>
      <c r="W85" s="8"/>
      <c r="X85" s="52"/>
      <c r="Y85" s="52"/>
      <c r="Z85" s="52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3" t="s">
        <v>53</v>
      </c>
      <c r="P86" s="64">
        <f>(AB68+AD68+AF68+AH68)</f>
        <v>0</v>
      </c>
      <c r="Q86" s="8"/>
      <c r="R86" s="8"/>
      <c r="S86" s="8"/>
      <c r="T86" s="8"/>
      <c r="U86" s="8"/>
      <c r="V86" s="8"/>
      <c r="W86" s="8"/>
      <c r="X86" s="52"/>
      <c r="Y86" s="52"/>
      <c r="Z86" s="52"/>
      <c r="AA86" s="66"/>
      <c r="AB86" s="1"/>
      <c r="AC86" s="66"/>
      <c r="AD86" s="1"/>
      <c r="AE86" s="1"/>
      <c r="AF86" s="1"/>
      <c r="AG86" s="1"/>
      <c r="AH86" s="1"/>
      <c r="AI86" s="1"/>
      <c r="AJ86" s="1"/>
      <c r="AK86" s="1"/>
    </row>
    <row r="87" spans="1:37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3" t="s">
        <v>54</v>
      </c>
      <c r="P87" s="64">
        <f>P85+P86</f>
        <v>-3254.4894185119001</v>
      </c>
      <c r="Q87" s="8"/>
      <c r="R87" s="8"/>
      <c r="S87" s="8"/>
      <c r="T87" s="8"/>
      <c r="U87" s="8"/>
      <c r="V87" s="8"/>
      <c r="W87" s="8"/>
      <c r="X87" s="52"/>
      <c r="Y87" s="52"/>
      <c r="Z87" s="52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5"/>
      <c r="P88" s="65"/>
      <c r="Q88" s="8"/>
      <c r="R88" s="8"/>
      <c r="S88" s="1"/>
      <c r="T88" s="1"/>
      <c r="U88" s="1"/>
      <c r="V88" s="1"/>
      <c r="W88" s="1"/>
      <c r="X88" s="52"/>
      <c r="Y88" s="52"/>
      <c r="Z88" s="52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7" t="s">
        <v>55</v>
      </c>
      <c r="P89" s="68">
        <f>P83+P87</f>
        <v>-2329.5494185119001</v>
      </c>
      <c r="Q89" s="8"/>
      <c r="R89" s="8"/>
      <c r="S89" s="69"/>
      <c r="T89" s="69"/>
      <c r="U89" s="69"/>
      <c r="V89" s="69"/>
      <c r="W89" s="69"/>
      <c r="X89" s="52"/>
      <c r="Y89" s="52"/>
      <c r="Z89" s="52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0" t="s">
        <v>56</v>
      </c>
      <c r="P90" s="71">
        <f>P89+S75+S76+S77</f>
        <v>-2329.5494185119001</v>
      </c>
      <c r="Q90" s="8"/>
      <c r="R90" s="8"/>
      <c r="S90" s="1"/>
      <c r="T90" s="1"/>
      <c r="U90" s="1"/>
      <c r="V90" s="1"/>
      <c r="W90" s="1"/>
      <c r="X90" s="52"/>
      <c r="Y90" s="52"/>
      <c r="Z90" s="52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137" spans="37:37" x14ac:dyDescent="0.25">
      <c r="AK137" s="3" t="e">
        <f>#REF!+#REF!</f>
        <v>#REF!</v>
      </c>
    </row>
    <row r="138" spans="37:37" x14ac:dyDescent="0.25">
      <c r="AK138" s="3" t="e">
        <f>#REF!+#REF!</f>
        <v>#REF!</v>
      </c>
    </row>
    <row r="139" spans="37:37" x14ac:dyDescent="0.25">
      <c r="AK139" s="3" t="e">
        <f>#REF!+#REF!</f>
        <v>#REF!</v>
      </c>
    </row>
    <row r="140" spans="37:37" x14ac:dyDescent="0.25">
      <c r="AK140" s="3" t="e">
        <f>#REF!+#REF!</f>
        <v>#REF!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24" orientation="landscape" r:id="rId1"/>
  <headerFooter alignWithMargins="0"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INTEREDE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Do Carmo Moreira</dc:creator>
  <cp:lastModifiedBy>Hugo Do Carmo Moreira</cp:lastModifiedBy>
  <dcterms:created xsi:type="dcterms:W3CDTF">2026-07-17T13:07:52Z</dcterms:created>
  <dcterms:modified xsi:type="dcterms:W3CDTF">2026-07-17T13:08:01Z</dcterms:modified>
</cp:coreProperties>
</file>