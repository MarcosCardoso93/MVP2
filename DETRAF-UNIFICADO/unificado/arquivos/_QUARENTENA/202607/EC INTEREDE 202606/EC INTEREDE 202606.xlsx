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B70948F7-CDC3-486E-833C-2E71C7ACC9DF}" xr6:coauthVersionLast="47" xr6:coauthVersionMax="47" xr10:uidLastSave="{00000000-0000-0000-0000-000000000000}"/>
  <bookViews>
    <workbookView xWindow="-110" yWindow="-110" windowWidth="19420" windowHeight="10300" xr2:uid="{79F20F99-C1F0-4349-8865-6FD5CB475029}"/>
  </bookViews>
  <sheets>
    <sheet name="INTEREDE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 localSheetId="0">#REF!</definedName>
    <definedName name="ASDASD">#REF!</definedName>
    <definedName name="asdsada" localSheetId="0">#REF!</definedName>
    <definedName name="asdsada">#REF!</definedName>
    <definedName name="ASDSADAS" localSheetId="0">#REF!</definedName>
    <definedName name="ASDSADAS">#REF!</definedName>
    <definedName name="CATA" localSheetId="0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 localSheetId="0">#REF!</definedName>
    <definedName name="ITCONECT">#REF!</definedName>
    <definedName name="M" localSheetId="0">#REF!</definedName>
    <definedName name="M">#REF!</definedName>
    <definedName name="PLIM">#REF!</definedName>
    <definedName name="S" localSheetId="0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AB68" i="1"/>
  <c r="AA68" i="1"/>
  <c r="P85" i="1" s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P82" i="1" s="1"/>
  <c r="K68" i="1"/>
  <c r="J68" i="1"/>
  <c r="I68" i="1"/>
  <c r="H68" i="1"/>
  <c r="G68" i="1"/>
  <c r="F68" i="1"/>
  <c r="E68" i="1"/>
  <c r="D68" i="1"/>
  <c r="C68" i="1"/>
  <c r="B68" i="1"/>
  <c r="P81" i="1" s="1"/>
  <c r="P83" i="1" s="1"/>
  <c r="N2" i="1"/>
  <c r="L2" i="1"/>
  <c r="P89" i="1" l="1"/>
  <c r="P90" i="1" s="1"/>
  <c r="P87" i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<sst xmlns="http://schemas.openxmlformats.org/spreadsheetml/2006/main" count="61" uniqueCount="57">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</sst>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4" fontId="13" fillId="5" borderId="0" xfId="0" applyNumberFormat="1" applyFont="1" applyFill="1"/>
    <xf numFmtId="4" fontId="14" fillId="5" borderId="0" xfId="2" applyNumberFormat="1" applyFont="1" applyFill="1"/>
    <xf numFmtId="0" fontId="5" fillId="6" borderId="0" xfId="2" applyFont="1" applyFill="1" applyAlignment="1">
      <alignment horizontal="left"/>
    </xf>
    <xf numFmtId="4" fontId="12" fillId="6" borderId="0" xfId="2" applyNumberFormat="1" applyFont="1" applyFill="1"/>
    <xf numFmtId="4" fontId="14" fillId="6" borderId="0" xfId="2" applyNumberFormat="1" applyFont="1" applyFill="1"/>
    <xf numFmtId="4" fontId="5" fillId="6" borderId="3" xfId="2" applyNumberFormat="1" applyFont="1" applyFill="1" applyBorder="1"/>
    <xf numFmtId="0" fontId="5" fillId="6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7" borderId="6" xfId="2" applyFont="1" applyFill="1" applyBorder="1" applyAlignment="1">
      <alignment horizontal="left"/>
    </xf>
    <xf numFmtId="4" fontId="16" fillId="7" borderId="6" xfId="7" applyNumberFormat="1" applyFont="1" applyFill="1" applyBorder="1" applyAlignment="1">
      <alignment horizontal="center"/>
    </xf>
    <xf numFmtId="4" fontId="7" fillId="7" borderId="6" xfId="7" applyNumberFormat="1" applyFont="1" applyFill="1" applyBorder="1" applyAlignment="1">
      <alignment horizontal="center"/>
    </xf>
    <xf numFmtId="4" fontId="17" fillId="7" borderId="7" xfId="7" applyNumberFormat="1" applyFont="1" applyFill="1" applyBorder="1" applyAlignment="1">
      <alignment horizontal="center"/>
    </xf>
    <xf numFmtId="0" fontId="17" fillId="8" borderId="8" xfId="2" applyFont="1" applyFill="1" applyBorder="1" applyAlignment="1">
      <alignment horizontal="left"/>
    </xf>
    <xf numFmtId="4" fontId="12" fillId="8" borderId="8" xfId="7" applyNumberFormat="1" applyFont="1" applyFill="1" applyBorder="1" applyAlignment="1">
      <alignment horizontal="center"/>
    </xf>
    <xf numFmtId="4" fontId="14" fillId="8" borderId="8" xfId="7" applyNumberFormat="1" applyFont="1" applyFill="1" applyBorder="1" applyAlignment="1">
      <alignment horizontal="center"/>
    </xf>
    <xf numFmtId="4" fontId="5" fillId="8" borderId="9" xfId="7" applyNumberFormat="1" applyFont="1" applyFill="1" applyBorder="1" applyAlignment="1">
      <alignment horizontal="center"/>
    </xf>
    <xf numFmtId="0" fontId="17" fillId="8" borderId="10" xfId="2" applyFont="1" applyFill="1" applyBorder="1" applyAlignment="1">
      <alignment horizontal="left"/>
    </xf>
    <xf numFmtId="4" fontId="12" fillId="8" borderId="10" xfId="2" applyNumberFormat="1" applyFont="1" applyFill="1" applyBorder="1" applyAlignment="1">
      <alignment horizontal="center"/>
    </xf>
    <xf numFmtId="4" fontId="14" fillId="8" borderId="10" xfId="2" applyNumberFormat="1" applyFont="1" applyFill="1" applyBorder="1" applyAlignment="1">
      <alignment horizontal="center"/>
    </xf>
    <xf numFmtId="4" fontId="5" fillId="8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9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10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1" borderId="13" xfId="2" applyFont="1" applyFill="1" applyBorder="1" applyAlignment="1">
      <alignment vertical="center"/>
    </xf>
    <xf numFmtId="4" fontId="21" fillId="11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8D2D3231-0C9E-4F89-AC67-E1CADAB18B38}"/>
    <cellStyle name="Normal 2 2 22" xfId="10" xr:uid="{DAC2D193-3DC6-491D-AA92-450218A83E62}"/>
    <cellStyle name="Normal 84" xfId="5" xr:uid="{F865826D-5A7A-4D68-B58C-B2BAD1F3C5AC}"/>
    <cellStyle name="Normal 9 2" xfId="2" xr:uid="{41BDD4D7-172B-4A73-9F3C-F40DBC563BA6}"/>
    <cellStyle name="Porcentagem 2" xfId="6" xr:uid="{DBF0BEFC-F662-43EC-A328-3BCD03C3DEDF}"/>
    <cellStyle name="Separador de milhares 10 2 2" xfId="8" xr:uid="{16B4AF72-BFB1-47C6-B5AD-54DE4A2FDE75}"/>
    <cellStyle name="Separador de milhares 14 4" xfId="9" xr:uid="{C150B9C8-E421-460C-BD4A-F875481480DF}"/>
    <cellStyle name="Separador de milhares 22 2 2" xfId="7" xr:uid="{43918A53-7F16-48D1-B028-9E2FD103C431}"/>
    <cellStyle name="Separador de milhares 22 4" xfId="11" xr:uid="{2C99ACBF-556C-4AF5-B9F9-4C2F9F24243D}"/>
    <cellStyle name="Vírgula 2 3 3" xfId="4" xr:uid="{1CE11C6E-C021-4B19-9DD1-CFD9B48D1D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3E297963-D955-4D9B-BEB5-6BA561735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E51B928F-AEF7-407D-B954-10295734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38E32397-416A-48FA-B1B0-27A2039C3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0B0EC8B1-564D-46BC-93E5-C0B21CB12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5D2B9294-F89D-4B51-A16B-22F9A7822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6A68AA6C-4E2E-4306-9E35-842CD038B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3B8F95E-08EB-4CC1-B915-8AB5D6CB9E4F}"/>
            </a:ext>
          </a:extLst>
        </xdr:cNvPr>
        <xdr:cNvSpPr/>
      </xdr:nvSpPr>
      <xdr:spPr>
        <a:xfrm>
          <a:off x="156083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6\EC_2026.06_Hugo.xls" TargetMode="External"/><Relationship Id="rId1" Type="http://schemas.openxmlformats.org/officeDocument/2006/relationships/externalLinkPath" Target="file:///\\Lagoa\di\DI-A\DI-A1\Encontro%20de%20Contas\2026\202606\EC_2026.06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EAE9B-53A2-4CCC-AD06-5CA5E220BC90}">
  <sheetPr codeName="Planilha45">
    <tabColor theme="2"/>
    <pageSetUpPr fitToPage="1"/>
  </sheetPr>
  <dimension ref="A1:BD140"/>
  <sheetViews>
    <sheetView showGridLines="0" tabSelected="1" zoomScale="55" zoomScaleNormal="55" workbookViewId="0">
      <pane xSplit="1" ySplit="6" topLeftCell="B7" activePane="bottomRight" state="frozen"/>
      <selection activeCell="B7" sqref="B7:AJ67"/>
      <selection pane="topRight" activeCell="B7" sqref="B7:AJ67"/>
      <selection pane="bottomLeft" activeCell="B7" sqref="B7:AJ67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9.45312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9.45312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9.45312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9.45312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9.45312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9.45312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9.45312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9.45312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9.45312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9.45312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9.45312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9.45312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9.45312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9.45312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9.45312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9.45312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9.45312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9.45312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9.45312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9.45312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9.45312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9.45312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9.45312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9.45312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9.45312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9.45312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9.45312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9.45312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9.45312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9.45312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9.45312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9.45312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9.45312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9.45312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9.45312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9.45312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9.45312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9.45312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9.45312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9.45312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9.45312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9.45312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9.45312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9.45312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9.45312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9.45312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9.45312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9.45312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9.45312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9.45312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9.45312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9.45312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9.45312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9.45312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9.45312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9.45312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9.45312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9.45312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9.45312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9.45312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9.45312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9.45312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9.45312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9.45312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15"/>
      <c r="D9" s="15"/>
      <c r="E9" s="15"/>
      <c r="F9" s="15"/>
      <c r="G9" s="15"/>
      <c r="H9" s="14"/>
      <c r="I9"/>
      <c r="J9" s="15"/>
      <c r="K9" s="15"/>
      <c r="L9" s="15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6"/>
      <c r="AB9" s="16"/>
      <c r="AC9" s="16"/>
      <c r="AD9" s="16"/>
      <c r="AE9" s="24"/>
      <c r="AF9" s="24"/>
      <c r="AG9" s="24"/>
      <c r="AH9" s="16"/>
      <c r="AI9" s="16"/>
      <c r="AJ9" s="16"/>
      <c r="AK9" s="25"/>
      <c r="BC9" s="3"/>
    </row>
    <row r="10" spans="1:56" ht="13" x14ac:dyDescent="0.3">
      <c r="A10" s="13">
        <v>20</v>
      </c>
      <c r="B10" s="18"/>
      <c r="C10" s="15"/>
      <c r="D10" s="15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B11" s="18"/>
      <c r="C11" s="15"/>
      <c r="D11" s="15"/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3" x14ac:dyDescent="0.3">
      <c r="A12" s="13">
        <v>30</v>
      </c>
      <c r="B12" s="18"/>
      <c r="C12" s="26">
        <v>1213.56</v>
      </c>
      <c r="D12" s="15"/>
      <c r="E12" s="15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27">
        <v>-3013.2772535899999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B13" s="18"/>
      <c r="C13" s="15"/>
      <c r="D13" s="15"/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B14" s="18"/>
      <c r="C14" s="15"/>
      <c r="D14" s="15"/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C15" s="15"/>
      <c r="D15" s="15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C16" s="15"/>
      <c r="D16" s="15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3" x14ac:dyDescent="0.3">
      <c r="A17" s="13">
        <v>39</v>
      </c>
      <c r="B17" s="18"/>
      <c r="C17" s="15"/>
      <c r="D17" s="15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3" x14ac:dyDescent="0.3">
      <c r="A18" s="13">
        <v>44</v>
      </c>
      <c r="B18" s="18"/>
      <c r="C18" s="15"/>
      <c r="D18" s="15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3" x14ac:dyDescent="0.3">
      <c r="A19" s="13">
        <v>45</v>
      </c>
      <c r="B19" s="18"/>
      <c r="C19" s="15"/>
      <c r="D19" s="15"/>
      <c r="E19" s="15"/>
      <c r="F19" s="15"/>
      <c r="G19" s="15"/>
      <c r="H19" s="14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3" x14ac:dyDescent="0.3">
      <c r="A20" s="13">
        <v>50</v>
      </c>
      <c r="B20" s="18"/>
      <c r="C20" s="15"/>
      <c r="D20" s="15"/>
      <c r="E20" s="15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B21" s="18"/>
      <c r="C21" s="15"/>
      <c r="D21" s="15"/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3" x14ac:dyDescent="0.3">
      <c r="A22" s="13">
        <v>60</v>
      </c>
      <c r="B22" s="18"/>
      <c r="C22" s="15"/>
      <c r="D22" s="15"/>
      <c r="E22" s="15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3" x14ac:dyDescent="0.3">
      <c r="A23" s="13">
        <v>64</v>
      </c>
      <c r="B23" s="18"/>
      <c r="C23" s="15"/>
      <c r="D23" s="15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3" x14ac:dyDescent="0.3">
      <c r="A24" s="13">
        <v>66</v>
      </c>
      <c r="B24" s="18"/>
      <c r="C24" s="15"/>
      <c r="D24" s="15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3" x14ac:dyDescent="0.3">
      <c r="A25" s="13">
        <v>68</v>
      </c>
      <c r="B25" s="18"/>
      <c r="C25" s="15"/>
      <c r="D25" s="1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3" x14ac:dyDescent="0.3">
      <c r="A26" s="13">
        <v>70</v>
      </c>
      <c r="B26" s="18"/>
      <c r="C26" s="15"/>
      <c r="D26" s="15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3" x14ac:dyDescent="0.3">
      <c r="A27" s="13">
        <v>78</v>
      </c>
      <c r="B27" s="18"/>
      <c r="C27" s="15"/>
      <c r="D27" s="15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3" x14ac:dyDescent="0.3">
      <c r="A28" s="13">
        <v>452</v>
      </c>
      <c r="B28" s="18"/>
      <c r="C28" s="15"/>
      <c r="D28" s="15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3" x14ac:dyDescent="0.3">
      <c r="A29" s="13">
        <v>453</v>
      </c>
      <c r="B29" s="14"/>
      <c r="C29" s="15"/>
      <c r="D29" s="15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3" x14ac:dyDescent="0.3">
      <c r="A30" s="13">
        <v>454</v>
      </c>
      <c r="B30" s="14"/>
      <c r="C30" s="15"/>
      <c r="D30" s="15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3" x14ac:dyDescent="0.3">
      <c r="A31" s="13">
        <v>455</v>
      </c>
      <c r="B31" s="14"/>
      <c r="C31" s="15"/>
      <c r="D31" s="15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3" x14ac:dyDescent="0.3">
      <c r="A32" s="13">
        <v>456</v>
      </c>
      <c r="B32" s="14"/>
      <c r="C32" s="15"/>
      <c r="D32" s="15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3" x14ac:dyDescent="0.3">
      <c r="A33" s="13">
        <v>457</v>
      </c>
      <c r="B33" s="14"/>
      <c r="C33" s="15"/>
      <c r="D33" s="15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3" x14ac:dyDescent="0.3">
      <c r="A34" s="28">
        <v>11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1"/>
      <c r="BC34" s="3"/>
    </row>
    <row r="35" spans="1:55" ht="13" x14ac:dyDescent="0.3">
      <c r="A35" s="32">
        <v>916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1"/>
      <c r="BC35" s="3"/>
    </row>
    <row r="36" spans="1:55" ht="13" x14ac:dyDescent="0.3">
      <c r="A36" s="13">
        <v>921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3" x14ac:dyDescent="0.3">
      <c r="A37" s="13">
        <v>927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3" x14ac:dyDescent="0.3">
      <c r="A38" s="13">
        <v>928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3" x14ac:dyDescent="0.3">
      <c r="A39" s="13">
        <v>931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3" x14ac:dyDescent="0.3">
      <c r="A40" s="13">
        <v>934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3" x14ac:dyDescent="0.3">
      <c r="A41" s="13">
        <v>941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3" x14ac:dyDescent="0.3">
      <c r="A42" s="13">
        <v>943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3" x14ac:dyDescent="0.3">
      <c r="A43" s="13">
        <v>948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3" x14ac:dyDescent="0.3">
      <c r="A44" s="13">
        <v>951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3" x14ac:dyDescent="0.3">
      <c r="A45" s="13">
        <v>953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3" x14ac:dyDescent="0.3">
      <c r="A46" s="13">
        <v>960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3" x14ac:dyDescent="0.3">
      <c r="A47" s="13">
        <v>961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3" x14ac:dyDescent="0.3">
      <c r="A48" s="13">
        <v>963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3" x14ac:dyDescent="0.3">
      <c r="A49" s="13">
        <v>964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3" x14ac:dyDescent="0.3">
      <c r="A50" s="13">
        <v>965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3" x14ac:dyDescent="0.3">
      <c r="A51" s="13">
        <v>966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3" x14ac:dyDescent="0.3">
      <c r="A52" s="13">
        <v>967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3" x14ac:dyDescent="0.3">
      <c r="A53" s="13">
        <v>968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3" x14ac:dyDescent="0.3">
      <c r="A54" s="13">
        <v>969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3" x14ac:dyDescent="0.3">
      <c r="A55" s="13">
        <v>971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3" x14ac:dyDescent="0.3">
      <c r="A56" s="13">
        <v>979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3" x14ac:dyDescent="0.3">
      <c r="A57" s="13">
        <v>981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">
      <c r="A58" s="13">
        <v>982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3" x14ac:dyDescent="0.3">
      <c r="A59" s="13">
        <v>983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3" x14ac:dyDescent="0.3">
      <c r="A60" s="13">
        <v>984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3" x14ac:dyDescent="0.3">
      <c r="A61" s="13">
        <v>985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3" x14ac:dyDescent="0.3">
      <c r="A62" s="13">
        <v>986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3" x14ac:dyDescent="0.3">
      <c r="A63" s="13">
        <v>991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3" x14ac:dyDescent="0.3">
      <c r="A64" s="13">
        <v>992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3" x14ac:dyDescent="0.3">
      <c r="A65" s="13">
        <v>995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3" x14ac:dyDescent="0.3">
      <c r="A66" s="13">
        <v>996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3.5" thickBot="1" x14ac:dyDescent="0.35">
      <c r="A67" s="34">
        <v>998</v>
      </c>
      <c r="B67" s="35"/>
      <c r="C67" s="14"/>
      <c r="D67" s="14"/>
      <c r="E67" s="14"/>
      <c r="F67" s="14"/>
      <c r="G67" s="14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6"/>
      <c r="AB67" s="16"/>
      <c r="AC67" s="36"/>
      <c r="AD67" s="36"/>
      <c r="AE67" s="36"/>
      <c r="AF67" s="36"/>
      <c r="AG67" s="36"/>
      <c r="AH67" s="16"/>
      <c r="AI67" s="16"/>
      <c r="AJ67" s="16"/>
      <c r="AK67" s="37"/>
      <c r="BC67" s="3"/>
    </row>
    <row r="68" spans="1:55" ht="13.5" thickTop="1" x14ac:dyDescent="0.3">
      <c r="A68" s="38" t="s">
        <v>39</v>
      </c>
      <c r="B68" s="39">
        <f>SUM(B7:B67)</f>
        <v>0</v>
      </c>
      <c r="C68" s="39">
        <f t="shared" ref="C68:AK68" si="0">SUM(C7:C67)</f>
        <v>1213.56</v>
      </c>
      <c r="D68" s="39">
        <f>SUM(D7:D67)</f>
        <v>0</v>
      </c>
      <c r="E68" s="39">
        <f>SUM(E7:E67)</f>
        <v>0</v>
      </c>
      <c r="F68" s="39">
        <f>SUM(F7:F67)</f>
        <v>0</v>
      </c>
      <c r="G68" s="39">
        <f>SUM(G7:G67)</f>
        <v>0</v>
      </c>
      <c r="H68" s="39">
        <f>SUM(H7:H67)</f>
        <v>0</v>
      </c>
      <c r="I68" s="39">
        <f t="shared" si="0"/>
        <v>0</v>
      </c>
      <c r="J68" s="39">
        <f t="shared" si="0"/>
        <v>0</v>
      </c>
      <c r="K68" s="39">
        <f t="shared" si="0"/>
        <v>0</v>
      </c>
      <c r="L68" s="39">
        <f t="shared" si="0"/>
        <v>0</v>
      </c>
      <c r="M68" s="39">
        <f t="shared" si="0"/>
        <v>0</v>
      </c>
      <c r="N68" s="39">
        <f t="shared" si="0"/>
        <v>0</v>
      </c>
      <c r="O68" s="39">
        <f t="shared" si="0"/>
        <v>0</v>
      </c>
      <c r="P68" s="39">
        <f t="shared" si="0"/>
        <v>0</v>
      </c>
      <c r="Q68" s="39">
        <f t="shared" si="0"/>
        <v>0</v>
      </c>
      <c r="R68" s="39">
        <f t="shared" si="0"/>
        <v>0</v>
      </c>
      <c r="S68" s="39">
        <f t="shared" si="0"/>
        <v>0</v>
      </c>
      <c r="T68" s="39">
        <f t="shared" si="0"/>
        <v>0</v>
      </c>
      <c r="U68" s="39">
        <f t="shared" si="0"/>
        <v>0</v>
      </c>
      <c r="V68" s="39">
        <f t="shared" si="0"/>
        <v>0</v>
      </c>
      <c r="W68" s="39">
        <f t="shared" si="0"/>
        <v>0</v>
      </c>
      <c r="X68" s="39">
        <f t="shared" si="0"/>
        <v>0</v>
      </c>
      <c r="Y68" s="39">
        <f t="shared" si="0"/>
        <v>0</v>
      </c>
      <c r="Z68" s="39">
        <f t="shared" si="0"/>
        <v>0</v>
      </c>
      <c r="AA68" s="40">
        <f t="shared" si="0"/>
        <v>-3013.2772535899999</v>
      </c>
      <c r="AB68" s="40">
        <f t="shared" si="0"/>
        <v>0</v>
      </c>
      <c r="AC68" s="40">
        <f t="shared" si="0"/>
        <v>0</v>
      </c>
      <c r="AD68" s="40">
        <f t="shared" si="0"/>
        <v>0</v>
      </c>
      <c r="AE68" s="40">
        <f t="shared" si="0"/>
        <v>0</v>
      </c>
      <c r="AF68" s="40">
        <f t="shared" si="0"/>
        <v>0</v>
      </c>
      <c r="AG68" s="40">
        <f t="shared" si="0"/>
        <v>0</v>
      </c>
      <c r="AH68" s="40">
        <f t="shared" si="0"/>
        <v>0</v>
      </c>
      <c r="AI68" s="40">
        <f t="shared" si="0"/>
        <v>0</v>
      </c>
      <c r="AJ68" s="40">
        <f t="shared" si="0"/>
        <v>0</v>
      </c>
      <c r="AK68" s="41">
        <f t="shared" si="0"/>
        <v>0</v>
      </c>
      <c r="BC68" s="3"/>
    </row>
    <row r="69" spans="1:55" ht="13" x14ac:dyDescent="0.3">
      <c r="A69" s="42" t="s">
        <v>40</v>
      </c>
      <c r="B69" s="43">
        <f>SUM(B7:B33)</f>
        <v>0</v>
      </c>
      <c r="C69" s="43">
        <f t="shared" ref="C69:AK69" si="1">SUM(C7:C33)</f>
        <v>1213.56</v>
      </c>
      <c r="D69" s="43">
        <f>SUM(D7:D33)</f>
        <v>0</v>
      </c>
      <c r="E69" s="43">
        <f>SUM(E7:E33)</f>
        <v>0</v>
      </c>
      <c r="F69" s="43">
        <f>SUM(F7:F33)</f>
        <v>0</v>
      </c>
      <c r="G69" s="43">
        <f>SUM(G7:G33)</f>
        <v>0</v>
      </c>
      <c r="H69" s="43">
        <f>SUM(H7:H33)</f>
        <v>0</v>
      </c>
      <c r="I69" s="43">
        <f t="shared" si="1"/>
        <v>0</v>
      </c>
      <c r="J69" s="43">
        <f t="shared" si="1"/>
        <v>0</v>
      </c>
      <c r="K69" s="43">
        <f t="shared" si="1"/>
        <v>0</v>
      </c>
      <c r="L69" s="43">
        <f t="shared" si="1"/>
        <v>0</v>
      </c>
      <c r="M69" s="43">
        <f t="shared" si="1"/>
        <v>0</v>
      </c>
      <c r="N69" s="43">
        <f t="shared" si="1"/>
        <v>0</v>
      </c>
      <c r="O69" s="43">
        <f t="shared" si="1"/>
        <v>0</v>
      </c>
      <c r="P69" s="43">
        <f t="shared" si="1"/>
        <v>0</v>
      </c>
      <c r="Q69" s="43">
        <f t="shared" si="1"/>
        <v>0</v>
      </c>
      <c r="R69" s="43">
        <f t="shared" si="1"/>
        <v>0</v>
      </c>
      <c r="S69" s="43">
        <f t="shared" si="1"/>
        <v>0</v>
      </c>
      <c r="T69" s="43">
        <f t="shared" si="1"/>
        <v>0</v>
      </c>
      <c r="U69" s="43">
        <f t="shared" si="1"/>
        <v>0</v>
      </c>
      <c r="V69" s="43">
        <f t="shared" si="1"/>
        <v>0</v>
      </c>
      <c r="W69" s="43">
        <f t="shared" si="1"/>
        <v>0</v>
      </c>
      <c r="X69" s="43">
        <f t="shared" si="1"/>
        <v>0</v>
      </c>
      <c r="Y69" s="43">
        <f t="shared" si="1"/>
        <v>0</v>
      </c>
      <c r="Z69" s="43">
        <f t="shared" si="1"/>
        <v>0</v>
      </c>
      <c r="AA69" s="44">
        <f t="shared" si="1"/>
        <v>-3013.2772535899999</v>
      </c>
      <c r="AB69" s="44">
        <f t="shared" si="1"/>
        <v>0</v>
      </c>
      <c r="AC69" s="44">
        <f t="shared" si="1"/>
        <v>0</v>
      </c>
      <c r="AD69" s="44">
        <f t="shared" si="1"/>
        <v>0</v>
      </c>
      <c r="AE69" s="44">
        <f t="shared" si="1"/>
        <v>0</v>
      </c>
      <c r="AF69" s="44">
        <f t="shared" si="1"/>
        <v>0</v>
      </c>
      <c r="AG69" s="44">
        <f t="shared" si="1"/>
        <v>0</v>
      </c>
      <c r="AH69" s="44">
        <f t="shared" si="1"/>
        <v>0</v>
      </c>
      <c r="AI69" s="44">
        <f t="shared" si="1"/>
        <v>0</v>
      </c>
      <c r="AJ69" s="44">
        <f t="shared" si="1"/>
        <v>0</v>
      </c>
      <c r="AK69" s="45">
        <f t="shared" si="1"/>
        <v>0</v>
      </c>
      <c r="BC69" s="3"/>
    </row>
    <row r="70" spans="1:55" ht="13" x14ac:dyDescent="0.3">
      <c r="A70" s="46" t="s">
        <v>41</v>
      </c>
      <c r="B70" s="47">
        <f>B34+B35</f>
        <v>0</v>
      </c>
      <c r="C70" s="47">
        <f t="shared" ref="C70:AK70" si="2">C34+C35</f>
        <v>0</v>
      </c>
      <c r="D70" s="47">
        <f>D34+D35</f>
        <v>0</v>
      </c>
      <c r="E70" s="47">
        <f>E34+E35</f>
        <v>0</v>
      </c>
      <c r="F70" s="47">
        <f>F34+F35</f>
        <v>0</v>
      </c>
      <c r="G70" s="47">
        <f>G34+G35</f>
        <v>0</v>
      </c>
      <c r="H70" s="47">
        <f>H34+H35</f>
        <v>0</v>
      </c>
      <c r="I70" s="47">
        <f t="shared" si="2"/>
        <v>0</v>
      </c>
      <c r="J70" s="47">
        <f t="shared" si="2"/>
        <v>0</v>
      </c>
      <c r="K70" s="47">
        <f t="shared" si="2"/>
        <v>0</v>
      </c>
      <c r="L70" s="47">
        <f t="shared" si="2"/>
        <v>0</v>
      </c>
      <c r="M70" s="47">
        <f t="shared" si="2"/>
        <v>0</v>
      </c>
      <c r="N70" s="47">
        <f t="shared" si="2"/>
        <v>0</v>
      </c>
      <c r="O70" s="47">
        <f t="shared" si="2"/>
        <v>0</v>
      </c>
      <c r="P70" s="47">
        <f t="shared" si="2"/>
        <v>0</v>
      </c>
      <c r="Q70" s="47">
        <f t="shared" si="2"/>
        <v>0</v>
      </c>
      <c r="R70" s="47">
        <f t="shared" si="2"/>
        <v>0</v>
      </c>
      <c r="S70" s="47">
        <f t="shared" si="2"/>
        <v>0</v>
      </c>
      <c r="T70" s="47">
        <f t="shared" si="2"/>
        <v>0</v>
      </c>
      <c r="U70" s="47">
        <f t="shared" si="2"/>
        <v>0</v>
      </c>
      <c r="V70" s="47">
        <f t="shared" si="2"/>
        <v>0</v>
      </c>
      <c r="W70" s="47">
        <f t="shared" si="2"/>
        <v>0</v>
      </c>
      <c r="X70" s="47">
        <f t="shared" si="2"/>
        <v>0</v>
      </c>
      <c r="Y70" s="47">
        <f t="shared" si="2"/>
        <v>0</v>
      </c>
      <c r="Z70" s="47">
        <f t="shared" si="2"/>
        <v>0</v>
      </c>
      <c r="AA70" s="48">
        <f t="shared" si="2"/>
        <v>0</v>
      </c>
      <c r="AB70" s="48">
        <f t="shared" si="2"/>
        <v>0</v>
      </c>
      <c r="AC70" s="48">
        <f t="shared" si="2"/>
        <v>0</v>
      </c>
      <c r="AD70" s="48">
        <f t="shared" si="2"/>
        <v>0</v>
      </c>
      <c r="AE70" s="48">
        <f t="shared" si="2"/>
        <v>0</v>
      </c>
      <c r="AF70" s="48">
        <f t="shared" si="2"/>
        <v>0</v>
      </c>
      <c r="AG70" s="48">
        <f t="shared" si="2"/>
        <v>0</v>
      </c>
      <c r="AH70" s="48">
        <f t="shared" si="2"/>
        <v>0</v>
      </c>
      <c r="AI70" s="48">
        <f t="shared" si="2"/>
        <v>0</v>
      </c>
      <c r="AJ70" s="48">
        <f t="shared" si="2"/>
        <v>0</v>
      </c>
      <c r="AK70" s="49">
        <f t="shared" si="2"/>
        <v>0</v>
      </c>
      <c r="BC70" s="3"/>
    </row>
    <row r="71" spans="1:55" ht="13" x14ac:dyDescent="0.3">
      <c r="A71" s="46" t="s">
        <v>42</v>
      </c>
      <c r="B71" s="47">
        <f>SUM(B36:B67)</f>
        <v>0</v>
      </c>
      <c r="C71" s="47">
        <f t="shared" ref="C71:AK71" si="3">SUM(C36:C67)</f>
        <v>0</v>
      </c>
      <c r="D71" s="47">
        <f>SUM(D36:D67)</f>
        <v>0</v>
      </c>
      <c r="E71" s="47">
        <f>SUM(E36:E67)</f>
        <v>0</v>
      </c>
      <c r="F71" s="47">
        <f>SUM(F36:F67)</f>
        <v>0</v>
      </c>
      <c r="G71" s="47">
        <f>SUM(G36:G67)</f>
        <v>0</v>
      </c>
      <c r="H71" s="47">
        <f>SUM(H36:H67)</f>
        <v>0</v>
      </c>
      <c r="I71" s="47">
        <f t="shared" si="3"/>
        <v>0</v>
      </c>
      <c r="J71" s="47">
        <f t="shared" si="3"/>
        <v>0</v>
      </c>
      <c r="K71" s="47">
        <f t="shared" si="3"/>
        <v>0</v>
      </c>
      <c r="L71" s="47">
        <f t="shared" si="3"/>
        <v>0</v>
      </c>
      <c r="M71" s="47">
        <f t="shared" si="3"/>
        <v>0</v>
      </c>
      <c r="N71" s="47">
        <f t="shared" si="3"/>
        <v>0</v>
      </c>
      <c r="O71" s="47">
        <f t="shared" si="3"/>
        <v>0</v>
      </c>
      <c r="P71" s="47">
        <f t="shared" si="3"/>
        <v>0</v>
      </c>
      <c r="Q71" s="47">
        <f t="shared" si="3"/>
        <v>0</v>
      </c>
      <c r="R71" s="47">
        <f t="shared" si="3"/>
        <v>0</v>
      </c>
      <c r="S71" s="47">
        <f t="shared" si="3"/>
        <v>0</v>
      </c>
      <c r="T71" s="47">
        <f t="shared" si="3"/>
        <v>0</v>
      </c>
      <c r="U71" s="47">
        <f t="shared" si="3"/>
        <v>0</v>
      </c>
      <c r="V71" s="47">
        <f t="shared" si="3"/>
        <v>0</v>
      </c>
      <c r="W71" s="47">
        <f t="shared" si="3"/>
        <v>0</v>
      </c>
      <c r="X71" s="47">
        <f t="shared" si="3"/>
        <v>0</v>
      </c>
      <c r="Y71" s="47">
        <f t="shared" si="3"/>
        <v>0</v>
      </c>
      <c r="Z71" s="47">
        <f t="shared" si="3"/>
        <v>0</v>
      </c>
      <c r="AA71" s="48">
        <f t="shared" si="3"/>
        <v>0</v>
      </c>
      <c r="AB71" s="48">
        <f t="shared" si="3"/>
        <v>0</v>
      </c>
      <c r="AC71" s="48">
        <f t="shared" si="3"/>
        <v>0</v>
      </c>
      <c r="AD71" s="48">
        <f t="shared" si="3"/>
        <v>0</v>
      </c>
      <c r="AE71" s="48">
        <f t="shared" si="3"/>
        <v>0</v>
      </c>
      <c r="AF71" s="48">
        <f t="shared" si="3"/>
        <v>0</v>
      </c>
      <c r="AG71" s="48">
        <f t="shared" si="3"/>
        <v>0</v>
      </c>
      <c r="AH71" s="48">
        <f t="shared" si="3"/>
        <v>0</v>
      </c>
      <c r="AI71" s="48">
        <f t="shared" si="3"/>
        <v>0</v>
      </c>
      <c r="AJ71" s="48">
        <f t="shared" si="3"/>
        <v>0</v>
      </c>
      <c r="AK71" s="49">
        <f t="shared" si="3"/>
        <v>0</v>
      </c>
      <c r="BC71" s="3"/>
    </row>
    <row r="72" spans="1:55" ht="13" x14ac:dyDescent="0.3">
      <c r="A72" s="50"/>
      <c r="B72" s="50"/>
      <c r="C72" s="50"/>
      <c r="D72" s="50"/>
      <c r="E72" s="50"/>
      <c r="F72" s="50"/>
      <c r="G72" s="50"/>
      <c r="H72" s="50"/>
      <c r="I72" s="1"/>
      <c r="J72" s="1"/>
      <c r="K72" s="1"/>
      <c r="L72" s="1"/>
      <c r="M72" s="1"/>
      <c r="N72" s="1"/>
      <c r="O72" s="8"/>
      <c r="P72" s="8"/>
      <c r="Q72" s="51"/>
      <c r="R72" s="51"/>
      <c r="S72" s="8"/>
      <c r="T72" s="8"/>
      <c r="U72" s="8"/>
      <c r="V72" s="8"/>
      <c r="W72" s="8"/>
      <c r="X72" s="52"/>
      <c r="Y72" s="52"/>
      <c r="Z72" s="5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3" t="s">
        <v>43</v>
      </c>
      <c r="P73" s="53"/>
      <c r="Q73" s="53"/>
      <c r="R73" s="53"/>
      <c r="S73" s="53"/>
      <c r="T73" s="53"/>
      <c r="U73" s="53"/>
      <c r="V73" s="53"/>
      <c r="W73" s="53"/>
      <c r="X73" s="52"/>
      <c r="Y73" s="52"/>
      <c r="Z73" s="5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4" t="s">
        <v>44</v>
      </c>
      <c r="P74" s="54" t="s">
        <v>45</v>
      </c>
      <c r="Q74" s="54"/>
      <c r="R74" s="54"/>
      <c r="S74" s="54" t="s">
        <v>46</v>
      </c>
      <c r="T74" s="55"/>
      <c r="U74" s="55"/>
      <c r="V74" s="55"/>
      <c r="W74" s="55"/>
      <c r="X74" s="52"/>
      <c r="Y74" s="52"/>
      <c r="Z74" s="5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57"/>
      <c r="Q75" s="58" t="s">
        <v>47</v>
      </c>
      <c r="R75" s="58"/>
      <c r="S75" s="57"/>
      <c r="T75" s="59"/>
      <c r="U75" s="59"/>
      <c r="V75" s="59"/>
      <c r="W75" s="59"/>
      <c r="X75" s="52"/>
      <c r="Y75" s="52"/>
      <c r="Z75" s="5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6"/>
      <c r="P76" s="58" t="s">
        <v>47</v>
      </c>
      <c r="Q76" s="58" t="s">
        <v>47</v>
      </c>
      <c r="R76" s="58"/>
      <c r="S76" s="60"/>
      <c r="T76" s="61"/>
      <c r="U76" s="61"/>
      <c r="V76" s="61"/>
      <c r="W76" s="61"/>
      <c r="X76" s="52"/>
      <c r="Y76" s="52"/>
      <c r="Z76" s="5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6"/>
      <c r="P77" s="58" t="s">
        <v>47</v>
      </c>
      <c r="Q77" s="58" t="s">
        <v>47</v>
      </c>
      <c r="R77" s="58"/>
      <c r="S77" s="60"/>
      <c r="T77" s="61"/>
      <c r="U77" s="61"/>
      <c r="V77" s="61"/>
      <c r="W77" s="61"/>
      <c r="X77" s="52"/>
      <c r="Y77" s="52"/>
      <c r="Z77" s="5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2"/>
      <c r="Y78" s="52"/>
      <c r="Z78" s="5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2" t="s">
        <v>48</v>
      </c>
      <c r="P79" s="62"/>
      <c r="Q79" s="8"/>
      <c r="R79" s="8"/>
      <c r="S79" s="8"/>
      <c r="T79" s="8"/>
      <c r="U79" s="8"/>
      <c r="V79" s="8"/>
      <c r="W79" s="8"/>
      <c r="X79" s="52"/>
      <c r="Y79" s="52"/>
      <c r="Z79" s="5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2"/>
      <c r="Y80" s="52"/>
      <c r="Z80" s="5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3" t="s">
        <v>49</v>
      </c>
      <c r="P81" s="64">
        <f>(B68+C68+K68+W68+Y68+I68+M68+O68+Q68+S68+E68+G68+U68)</f>
        <v>1213.56</v>
      </c>
      <c r="Q81" s="8"/>
      <c r="R81" s="8"/>
      <c r="S81" s="8"/>
      <c r="T81" s="8"/>
      <c r="U81" s="8"/>
      <c r="V81" s="8"/>
      <c r="W81" s="8"/>
      <c r="X81" s="52"/>
      <c r="Y81" s="52"/>
      <c r="Z81" s="5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3" t="s">
        <v>50</v>
      </c>
      <c r="P82" s="64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2"/>
      <c r="Y82" s="52"/>
      <c r="Z82" s="5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3" t="s">
        <v>51</v>
      </c>
      <c r="P83" s="64">
        <f>P81+P82</f>
        <v>1213.56</v>
      </c>
      <c r="Q83" s="8"/>
      <c r="R83" s="8"/>
      <c r="S83" s="8"/>
      <c r="T83" s="8"/>
      <c r="U83" s="8"/>
      <c r="V83" s="8"/>
      <c r="W83" s="8"/>
      <c r="X83" s="52"/>
      <c r="Y83" s="52"/>
      <c r="Z83" s="5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2"/>
      <c r="Y84" s="52"/>
      <c r="Z84" s="5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3" t="s">
        <v>52</v>
      </c>
      <c r="P85" s="64">
        <f>SUM(AA68,AC68,AE68,AG68,AI68,AJ68)</f>
        <v>-3013.2772535899999</v>
      </c>
      <c r="Q85" s="8"/>
      <c r="R85" s="8"/>
      <c r="S85" s="8"/>
      <c r="T85" s="8"/>
      <c r="U85" s="8"/>
      <c r="V85" s="8"/>
      <c r="W85" s="8"/>
      <c r="X85" s="52"/>
      <c r="Y85" s="52"/>
      <c r="Z85" s="5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3" t="s">
        <v>53</v>
      </c>
      <c r="P86" s="64">
        <f>(AB68+AD68+AF68+AH68)</f>
        <v>0</v>
      </c>
      <c r="Q86" s="8"/>
      <c r="R86" s="8"/>
      <c r="S86" s="8"/>
      <c r="T86" s="8"/>
      <c r="U86" s="8"/>
      <c r="V86" s="8"/>
      <c r="W86" s="8"/>
      <c r="X86" s="52"/>
      <c r="Y86" s="52"/>
      <c r="Z86" s="52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3" t="s">
        <v>54</v>
      </c>
      <c r="P87" s="64">
        <f>P85+P86</f>
        <v>-3013.2772535899999</v>
      </c>
      <c r="Q87" s="8"/>
      <c r="R87" s="8"/>
      <c r="S87" s="8"/>
      <c r="T87" s="8"/>
      <c r="U87" s="8"/>
      <c r="V87" s="8"/>
      <c r="W87" s="8"/>
      <c r="X87" s="52"/>
      <c r="Y87" s="52"/>
      <c r="Z87" s="5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2"/>
      <c r="Y88" s="52"/>
      <c r="Z88" s="5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-1799.7172535899999</v>
      </c>
      <c r="Q89" s="8"/>
      <c r="R89" s="8"/>
      <c r="S89" s="69"/>
      <c r="T89" s="69"/>
      <c r="U89" s="69"/>
      <c r="V89" s="69"/>
      <c r="W89" s="69"/>
      <c r="X89" s="52"/>
      <c r="Y89" s="52"/>
      <c r="Z89" s="5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-1799.7172535899999</v>
      </c>
      <c r="Q90" s="8"/>
      <c r="R90" s="8"/>
      <c r="S90" s="1"/>
      <c r="T90" s="1"/>
      <c r="U90" s="1"/>
      <c r="V90" s="1"/>
      <c r="W90" s="1"/>
      <c r="X90" s="52"/>
      <c r="Y90" s="52"/>
      <c r="Z90" s="5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2026-07-17T13:05:25Z</dcterms:created>
  <dcterms:modified xsi:type="dcterms:W3CDTF">2026-07-17T13:05:40Z</dcterms:modified>
</cp:coreProperties>
</file>