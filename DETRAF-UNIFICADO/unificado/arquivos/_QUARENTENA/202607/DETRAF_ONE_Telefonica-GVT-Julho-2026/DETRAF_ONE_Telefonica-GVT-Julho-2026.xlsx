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W:\#DETRAF_OFICIAL\#2026_DETRAF\07 - Junho\EOT 951_GVT_Telefonica\"/>
    </mc:Choice>
  </mc:AlternateContent>
  <xr:revisionPtr revIDLastSave="0" documentId="8_{9DF457EB-FC93-4BF7-94A7-A68E824A232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lefonica" sheetId="2" r:id="rId1"/>
  </sheets>
  <definedNames>
    <definedName name="_xlnm._FilterDatabase" localSheetId="0" hidden="1">Telefonica!$A$2:$O$15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" l="1"/>
  <c r="L3" i="2" l="1"/>
  <c r="O3" i="2" s="1"/>
  <c r="M3" i="2" s="1"/>
  <c r="L4" i="2"/>
  <c r="O4" i="2" s="1"/>
  <c r="M4" i="2" s="1"/>
  <c r="L14" i="2"/>
  <c r="O14" i="2" s="1"/>
  <c r="M14" i="2" s="1"/>
  <c r="L12" i="2"/>
  <c r="O12" i="2" s="1"/>
  <c r="M12" i="2" s="1"/>
  <c r="L6" i="2"/>
  <c r="O6" i="2" s="1"/>
  <c r="M6" i="2" s="1"/>
  <c r="L5" i="2"/>
  <c r="O5" i="2" s="1"/>
  <c r="M5" i="2" s="1"/>
  <c r="L9" i="2"/>
  <c r="O9" i="2" s="1"/>
  <c r="M9" i="2" s="1"/>
  <c r="L10" i="2"/>
  <c r="O10" i="2" s="1"/>
  <c r="M10" i="2" s="1"/>
  <c r="L8" i="2"/>
  <c r="O8" i="2" s="1"/>
  <c r="M8" i="2" s="1"/>
  <c r="L7" i="2"/>
  <c r="O7" i="2" s="1"/>
  <c r="M7" i="2" s="1"/>
  <c r="L13" i="2"/>
  <c r="O13" i="2" s="1"/>
  <c r="M13" i="2" s="1"/>
  <c r="O11" i="2"/>
  <c r="M11" i="2" s="1"/>
  <c r="O15" i="2" l="1"/>
</calcChain>
</file>

<file path=xl/sharedStrings.xml><?xml version="1.0" encoding="utf-8"?>
<sst xmlns="http://schemas.openxmlformats.org/spreadsheetml/2006/main" count="52" uniqueCount="25">
  <si>
    <t>EOT Credora</t>
  </si>
  <si>
    <t>EOT Devedora</t>
  </si>
  <si>
    <t>Referência</t>
  </si>
  <si>
    <t>Período Tráfego</t>
  </si>
  <si>
    <t>POI</t>
  </si>
  <si>
    <t>Tipo Rel.</t>
  </si>
  <si>
    <t>Descritor</t>
  </si>
  <si>
    <t>Grupo Horário</t>
  </si>
  <si>
    <t>Chamadas</t>
  </si>
  <si>
    <t>Minutos</t>
  </si>
  <si>
    <t>Tarifa</t>
  </si>
  <si>
    <t>Valor Líquido</t>
  </si>
  <si>
    <t>Pis/Cofins</t>
  </si>
  <si>
    <t>ICMS</t>
  </si>
  <si>
    <t>Valor Bruto</t>
  </si>
  <si>
    <t>BRG.LJO.01</t>
  </si>
  <si>
    <t xml:space="preserve"> NENL</t>
  </si>
  <si>
    <t>N</t>
  </si>
  <si>
    <t>BRG.PAE.01</t>
  </si>
  <si>
    <t xml:space="preserve"> GS8L</t>
  </si>
  <si>
    <t>R</t>
  </si>
  <si>
    <t>BRG.SCR.01</t>
  </si>
  <si>
    <t>BRG.TEU.01</t>
  </si>
  <si>
    <t xml:space="preserve"> LENL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</si>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</sst>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&quot;R$ &quot;* #,##0.00_-;&quot;-R$ &quot;* #,##0.00_-;_-&quot;R$ &quot;* \-??_-;_-@_-"/>
    <numFmt numFmtId="166" formatCode="#,##0.00000"/>
  </numFmts>
  <fonts count="4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3" fillId="0" borderId="0" applyBorder="0" applyProtection="0"/>
    <xf numFmtId="165" fontId="3" fillId="0" borderId="0" applyBorder="0" applyProtection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2" fillId="0" borderId="0" xfId="3"/>
    <xf numFmtId="165" fontId="1" fillId="0" borderId="0" xfId="2" applyFont="1" applyBorder="1" applyProtection="1"/>
    <xf numFmtId="3" fontId="1" fillId="0" borderId="0" xfId="1" applyNumberFormat="1" applyFont="1" applyBorder="1" applyProtection="1"/>
    <xf numFmtId="164" fontId="1" fillId="0" borderId="0" xfId="1" applyFont="1" applyBorder="1" applyProtection="1"/>
    <xf numFmtId="166" fontId="1" fillId="0" borderId="0" xfId="1" applyNumberFormat="1" applyFont="1" applyBorder="1" applyProtection="1"/>
    <xf numFmtId="165" fontId="1" fillId="0" borderId="0" xfId="0" applyNumberFormat="1" applyFont="1"/>
  </cellXfs>
  <cellStyles count="4">
    <cellStyle name="Moeda" xfId="2" builtinId="4"/>
    <cellStyle name="Normal" xfId="0" builtinId="0"/>
    <cellStyle name="Texto Explicativo" xfId="3" builtinId="5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5"/>
  <sheetViews>
    <sheetView tabSelected="1" zoomScaleNormal="100" workbookViewId="0">
      <selection activeCell="O15" sqref="O15"/>
    </sheetView>
  </sheetViews>
  <sheetFormatPr defaultColWidth="9" defaultRowHeight="14.4" x14ac:dyDescent="0.3"/>
  <cols>
    <col min="1" max="1" width="14.109375" bestFit="1" customWidth="1"/>
    <col min="2" max="2" width="15.5546875" bestFit="1" customWidth="1"/>
    <col min="3" max="3" width="12" bestFit="1" customWidth="1"/>
    <col min="4" max="4" width="16.5546875" bestFit="1" customWidth="1"/>
    <col min="5" max="5" width="12.33203125" bestFit="1" customWidth="1"/>
    <col min="6" max="6" width="10.5546875" bestFit="1" customWidth="1"/>
    <col min="7" max="7" width="10.6640625" bestFit="1" customWidth="1"/>
    <col min="8" max="8" width="14.88671875" bestFit="1" customWidth="1"/>
    <col min="9" max="9" width="12.109375" bestFit="1" customWidth="1"/>
    <col min="10" max="10" width="10.6640625" bestFit="1" customWidth="1"/>
    <col min="11" max="11" width="9" bestFit="1" customWidth="1"/>
    <col min="12" max="12" width="15.109375" bestFit="1" customWidth="1"/>
    <col min="13" max="13" width="12.88671875" bestFit="1" customWidth="1"/>
    <col min="14" max="14" width="9" bestFit="1" customWidth="1"/>
    <col min="15" max="15" width="13.6640625" bestFit="1" customWidth="1"/>
  </cols>
  <sheetData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x14ac:dyDescent="0.3">
      <c r="A3" s="2">
        <v>121</v>
      </c>
      <c r="B3" s="2">
        <v>951</v>
      </c>
      <c r="C3" s="2">
        <v>202607</v>
      </c>
      <c r="D3" s="2">
        <v>202607</v>
      </c>
      <c r="E3" s="2" t="s">
        <v>15</v>
      </c>
      <c r="F3" s="2">
        <v>0</v>
      </c>
      <c r="G3" s="2" t="s">
        <v>16</v>
      </c>
      <c r="H3" s="2" t="s">
        <v>17</v>
      </c>
      <c r="I3" s="4">
        <v>7191</v>
      </c>
      <c r="J3" s="5">
        <v>14190.8</v>
      </c>
      <c r="K3" s="6">
        <v>6.0800000000000003E-3</v>
      </c>
      <c r="L3" s="3">
        <f t="shared" ref="L3:L14" si="0">J3*K3</f>
        <v>86.280063999999996</v>
      </c>
      <c r="M3" s="3">
        <f>O3*0.0365</f>
        <v>3.2685234416190965</v>
      </c>
      <c r="N3" s="3">
        <v>0</v>
      </c>
      <c r="O3" s="3">
        <f>L3*(1/(1-0.0365))</f>
        <v>89.548587441619091</v>
      </c>
    </row>
    <row r="4" spans="1:15" x14ac:dyDescent="0.3">
      <c r="A4" s="2">
        <v>121</v>
      </c>
      <c r="B4" s="2">
        <v>951</v>
      </c>
      <c r="C4" s="2">
        <v>202607</v>
      </c>
      <c r="D4" s="2">
        <v>202607</v>
      </c>
      <c r="E4" s="2" t="s">
        <v>18</v>
      </c>
      <c r="F4" s="2">
        <v>0</v>
      </c>
      <c r="G4" s="2" t="s">
        <v>19</v>
      </c>
      <c r="H4" s="2" t="s">
        <v>17</v>
      </c>
      <c r="I4" s="4">
        <v>7653</v>
      </c>
      <c r="J4" s="5">
        <v>9170.43</v>
      </c>
      <c r="K4" s="6">
        <v>6.0800000000000003E-3</v>
      </c>
      <c r="L4" s="3">
        <f t="shared" si="0"/>
        <v>55.756214400000005</v>
      </c>
      <c r="M4" s="3">
        <f t="shared" ref="M4:M14" si="1">O4*0.0365</f>
        <v>2.1121970167099118</v>
      </c>
      <c r="N4" s="3">
        <v>0</v>
      </c>
      <c r="O4" s="3">
        <f t="shared" ref="O4:O14" si="2">L4*(1/(1-0.0365))</f>
        <v>57.868411416709918</v>
      </c>
    </row>
    <row r="5" spans="1:15" x14ac:dyDescent="0.3">
      <c r="A5" s="2">
        <v>121</v>
      </c>
      <c r="B5" s="2">
        <v>951</v>
      </c>
      <c r="C5" s="2">
        <v>202607</v>
      </c>
      <c r="D5" s="2">
        <v>202607</v>
      </c>
      <c r="E5" s="2" t="s">
        <v>18</v>
      </c>
      <c r="F5" s="2">
        <v>0</v>
      </c>
      <c r="G5" s="2" t="s">
        <v>16</v>
      </c>
      <c r="H5" s="2" t="s">
        <v>17</v>
      </c>
      <c r="I5" s="4">
        <v>2958</v>
      </c>
      <c r="J5" s="5">
        <v>3624.58</v>
      </c>
      <c r="K5" s="6">
        <v>6.0800000000000003E-3</v>
      </c>
      <c r="L5" s="3">
        <f t="shared" si="0"/>
        <v>22.0374464</v>
      </c>
      <c r="M5" s="3">
        <f t="shared" si="1"/>
        <v>0.83483839501816293</v>
      </c>
      <c r="N5" s="3">
        <v>0</v>
      </c>
      <c r="O5" s="3">
        <f t="shared" si="2"/>
        <v>22.872284795018164</v>
      </c>
    </row>
    <row r="6" spans="1:15" x14ac:dyDescent="0.3">
      <c r="A6" s="2">
        <v>121</v>
      </c>
      <c r="B6" s="2">
        <v>951</v>
      </c>
      <c r="C6" s="2">
        <v>202607</v>
      </c>
      <c r="D6" s="2">
        <v>202607</v>
      </c>
      <c r="E6" s="2" t="s">
        <v>18</v>
      </c>
      <c r="F6" s="2">
        <v>0</v>
      </c>
      <c r="G6" s="2" t="s">
        <v>16</v>
      </c>
      <c r="H6" s="2" t="s">
        <v>20</v>
      </c>
      <c r="I6" s="4">
        <v>48552</v>
      </c>
      <c r="J6" s="5">
        <v>84567.22</v>
      </c>
      <c r="K6" s="6">
        <v>4.2500000000000003E-3</v>
      </c>
      <c r="L6" s="3">
        <f t="shared" si="0"/>
        <v>359.41068500000006</v>
      </c>
      <c r="M6" s="3">
        <f t="shared" si="1"/>
        <v>13.615454076284381</v>
      </c>
      <c r="N6" s="3">
        <v>0</v>
      </c>
      <c r="O6" s="3">
        <f t="shared" si="2"/>
        <v>373.02613907628444</v>
      </c>
    </row>
    <row r="7" spans="1:15" x14ac:dyDescent="0.3">
      <c r="A7" s="2">
        <v>121</v>
      </c>
      <c r="B7" s="2">
        <v>951</v>
      </c>
      <c r="C7" s="2">
        <v>202607</v>
      </c>
      <c r="D7" s="2">
        <v>202607</v>
      </c>
      <c r="E7" s="2" t="s">
        <v>21</v>
      </c>
      <c r="F7" s="2">
        <v>0</v>
      </c>
      <c r="G7" s="2" t="s">
        <v>19</v>
      </c>
      <c r="H7" s="2" t="s">
        <v>17</v>
      </c>
      <c r="I7" s="4">
        <v>1151</v>
      </c>
      <c r="J7" s="5">
        <v>1728.8</v>
      </c>
      <c r="K7" s="6">
        <v>6.0800000000000003E-3</v>
      </c>
      <c r="L7" s="3">
        <f t="shared" si="0"/>
        <v>10.511104</v>
      </c>
      <c r="M7" s="3">
        <f t="shared" si="1"/>
        <v>0.39818920186818885</v>
      </c>
      <c r="N7" s="3">
        <v>0</v>
      </c>
      <c r="O7" s="3">
        <f t="shared" si="2"/>
        <v>10.909293201868188</v>
      </c>
    </row>
    <row r="8" spans="1:15" x14ac:dyDescent="0.3">
      <c r="A8" s="2">
        <v>121</v>
      </c>
      <c r="B8" s="2">
        <v>951</v>
      </c>
      <c r="C8" s="2">
        <v>202607</v>
      </c>
      <c r="D8" s="2">
        <v>202607</v>
      </c>
      <c r="E8" s="2" t="s">
        <v>21</v>
      </c>
      <c r="F8" s="2">
        <v>0</v>
      </c>
      <c r="G8" s="2" t="s">
        <v>19</v>
      </c>
      <c r="H8" s="2" t="s">
        <v>20</v>
      </c>
      <c r="I8" s="4">
        <v>561</v>
      </c>
      <c r="J8" s="5">
        <v>970.31</v>
      </c>
      <c r="K8" s="6">
        <v>4.2500000000000003E-3</v>
      </c>
      <c r="L8" s="3">
        <f t="shared" si="0"/>
        <v>4.1238175000000004</v>
      </c>
      <c r="M8" s="3">
        <f t="shared" si="1"/>
        <v>0.156221420601972</v>
      </c>
      <c r="N8" s="3">
        <v>0</v>
      </c>
      <c r="O8" s="3">
        <f t="shared" si="2"/>
        <v>4.2800389206019727</v>
      </c>
    </row>
    <row r="9" spans="1:15" x14ac:dyDescent="0.3">
      <c r="A9" s="2">
        <v>121</v>
      </c>
      <c r="B9" s="2">
        <v>951</v>
      </c>
      <c r="C9" s="2">
        <v>202607</v>
      </c>
      <c r="D9" s="2">
        <v>202607</v>
      </c>
      <c r="E9" s="2" t="s">
        <v>21</v>
      </c>
      <c r="F9" s="2">
        <v>0</v>
      </c>
      <c r="G9" s="2" t="s">
        <v>16</v>
      </c>
      <c r="H9" s="2" t="s">
        <v>17</v>
      </c>
      <c r="I9" s="4">
        <v>438</v>
      </c>
      <c r="J9" s="5">
        <v>636.91</v>
      </c>
      <c r="K9" s="6">
        <v>6.0800000000000003E-3</v>
      </c>
      <c r="L9" s="3">
        <f t="shared" si="0"/>
        <v>3.8724128000000002</v>
      </c>
      <c r="M9" s="3">
        <f t="shared" si="1"/>
        <v>0.14669752693305657</v>
      </c>
      <c r="N9" s="3">
        <v>0</v>
      </c>
      <c r="O9" s="3">
        <f t="shared" si="2"/>
        <v>4.019110326933057</v>
      </c>
    </row>
    <row r="10" spans="1:15" x14ac:dyDescent="0.3">
      <c r="A10" s="2">
        <v>121</v>
      </c>
      <c r="B10" s="2">
        <v>951</v>
      </c>
      <c r="C10" s="2">
        <v>202607</v>
      </c>
      <c r="D10" s="2">
        <v>202607</v>
      </c>
      <c r="E10" s="2" t="s">
        <v>21</v>
      </c>
      <c r="F10" s="2">
        <v>0</v>
      </c>
      <c r="G10" s="2" t="s">
        <v>16</v>
      </c>
      <c r="H10" s="2" t="s">
        <v>20</v>
      </c>
      <c r="I10" s="4">
        <v>577</v>
      </c>
      <c r="J10" s="5">
        <v>776.47</v>
      </c>
      <c r="K10" s="6">
        <v>4.2500000000000003E-3</v>
      </c>
      <c r="L10" s="3">
        <f t="shared" si="0"/>
        <v>3.2999975000000004</v>
      </c>
      <c r="M10" s="3">
        <f t="shared" si="1"/>
        <v>0.12501287882719253</v>
      </c>
      <c r="N10" s="3">
        <v>0</v>
      </c>
      <c r="O10" s="3">
        <f t="shared" si="2"/>
        <v>3.4250103788271931</v>
      </c>
    </row>
    <row r="11" spans="1:15" x14ac:dyDescent="0.3">
      <c r="A11" s="2">
        <v>121</v>
      </c>
      <c r="B11" s="2">
        <v>951</v>
      </c>
      <c r="C11" s="2">
        <v>202607</v>
      </c>
      <c r="D11" s="2">
        <v>202607</v>
      </c>
      <c r="E11" s="2" t="s">
        <v>22</v>
      </c>
      <c r="F11" s="2">
        <v>0</v>
      </c>
      <c r="G11" s="2" t="s">
        <v>19</v>
      </c>
      <c r="H11" s="2" t="s">
        <v>17</v>
      </c>
      <c r="I11" s="4">
        <v>320</v>
      </c>
      <c r="J11" s="5">
        <v>595.26</v>
      </c>
      <c r="K11" s="6">
        <v>6.0800000000000003E-3</v>
      </c>
      <c r="L11" s="3">
        <f t="shared" si="0"/>
        <v>3.6191808000000001</v>
      </c>
      <c r="M11" s="3">
        <f t="shared" si="1"/>
        <v>0.13710441017125063</v>
      </c>
      <c r="N11" s="3">
        <v>0</v>
      </c>
      <c r="O11" s="3">
        <f t="shared" si="2"/>
        <v>3.7562852101712507</v>
      </c>
    </row>
    <row r="12" spans="1:15" x14ac:dyDescent="0.3">
      <c r="A12" s="2">
        <v>121</v>
      </c>
      <c r="B12" s="2">
        <v>951</v>
      </c>
      <c r="C12" s="2">
        <v>202607</v>
      </c>
      <c r="D12" s="2">
        <v>202607</v>
      </c>
      <c r="E12" s="2" t="s">
        <v>22</v>
      </c>
      <c r="F12" s="2">
        <v>0</v>
      </c>
      <c r="G12" s="2" t="s">
        <v>23</v>
      </c>
      <c r="H12" s="2" t="s">
        <v>17</v>
      </c>
      <c r="I12" s="4">
        <v>207</v>
      </c>
      <c r="J12" s="5">
        <v>341.23</v>
      </c>
      <c r="K12" s="6">
        <v>6.0800000000000003E-3</v>
      </c>
      <c r="L12" s="3">
        <f t="shared" si="0"/>
        <v>2.0746784000000003</v>
      </c>
      <c r="M12" s="3">
        <f t="shared" si="1"/>
        <v>7.8594459366891536E-2</v>
      </c>
      <c r="N12" s="3">
        <v>0</v>
      </c>
      <c r="O12" s="3">
        <f t="shared" si="2"/>
        <v>2.1532728593668917</v>
      </c>
    </row>
    <row r="13" spans="1:15" x14ac:dyDescent="0.3">
      <c r="A13" s="2">
        <v>121</v>
      </c>
      <c r="B13" s="2">
        <v>951</v>
      </c>
      <c r="C13" s="2">
        <v>202607</v>
      </c>
      <c r="D13" s="2">
        <v>202607</v>
      </c>
      <c r="E13" s="2" t="s">
        <v>22</v>
      </c>
      <c r="F13" s="2">
        <v>0</v>
      </c>
      <c r="G13" s="2" t="s">
        <v>16</v>
      </c>
      <c r="H13" s="2" t="s">
        <v>17</v>
      </c>
      <c r="I13" s="4">
        <v>385</v>
      </c>
      <c r="J13" s="5">
        <v>617.66</v>
      </c>
      <c r="K13" s="6">
        <v>6.0800000000000003E-3</v>
      </c>
      <c r="L13" s="3">
        <f t="shared" si="0"/>
        <v>3.7553728</v>
      </c>
      <c r="M13" s="3">
        <f t="shared" si="1"/>
        <v>0.1422637334717177</v>
      </c>
      <c r="N13" s="3">
        <v>0</v>
      </c>
      <c r="O13" s="3">
        <f t="shared" si="2"/>
        <v>3.8976365334717178</v>
      </c>
    </row>
    <row r="14" spans="1:15" x14ac:dyDescent="0.3">
      <c r="A14" s="2">
        <v>121</v>
      </c>
      <c r="B14" s="2">
        <v>951</v>
      </c>
      <c r="C14" s="2">
        <v>202607</v>
      </c>
      <c r="D14" s="2">
        <v>202607</v>
      </c>
      <c r="E14" s="2" t="s">
        <v>22</v>
      </c>
      <c r="F14" s="2">
        <v>0</v>
      </c>
      <c r="G14" s="2" t="s">
        <v>16</v>
      </c>
      <c r="H14" s="2" t="s">
        <v>20</v>
      </c>
      <c r="I14" s="4">
        <v>1951</v>
      </c>
      <c r="J14" s="5">
        <v>3692.42</v>
      </c>
      <c r="K14" s="6">
        <v>4.2500000000000003E-3</v>
      </c>
      <c r="L14" s="3">
        <f t="shared" si="0"/>
        <v>15.692785000000001</v>
      </c>
      <c r="M14" s="3">
        <f t="shared" si="1"/>
        <v>0.5944853684483653</v>
      </c>
      <c r="N14" s="3">
        <v>0</v>
      </c>
      <c r="O14" s="3">
        <f t="shared" si="2"/>
        <v>16.287270368448365</v>
      </c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4"/>
      <c r="J15" s="5"/>
      <c r="K15" s="1"/>
      <c r="L15" s="1"/>
      <c r="M15" s="1"/>
      <c r="N15" s="1" t="s">
        <v>24</v>
      </c>
      <c r="O15" s="7">
        <f>SUM(O3:O14)</f>
        <v>592.04334052932029</v>
      </c>
    </row>
  </sheetData>
  <autoFilter ref="A2:O15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Telefonica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</dc:creator>
  <cp:lastModifiedBy>Clara Von Hohendorff</cp:lastModifiedBy>
  <cp:revision>13</cp:revision>
  <cp:lastPrinted>2016-10-10T20:07:00Z</cp:lastPrinted>
  <dcterms:created xsi:type="dcterms:W3CDTF">2014-07-03T20:34:00Z</dcterms:created>
  <dcterms:modified xsi:type="dcterms:W3CDTF">2026-08-07T19:20:47Z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5ABF99AEBB04478E901C86C860B562B3</vt:lpwstr>
  </property>
  <property fmtid="{D5CDD505-2E9C-101B-9397-08002B2CF9AE}" pid="9" name="KSOProductBuildVer">
    <vt:lpwstr>1046-12.2.0.16731</vt:lpwstr>
  </property>
</Properties>
</file>