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i\Dropbox\TMCO - DETRAF\CLIENTES TMCO - Ativo\ITELCO - Ações CONFAZ\VIVO SMP 202607\"/>
    </mc:Choice>
  </mc:AlternateContent>
  <xr:revisionPtr revIDLastSave="0" documentId="13_ncr:1_{29E36CBC-C465-4E88-A4E8-6BE3FB12DC38}" xr6:coauthVersionLast="47" xr6:coauthVersionMax="47" xr10:uidLastSave="{00000000-0000-0000-0000-000000000000}"/>
  <bookViews>
    <workbookView xWindow="-108" yWindow="-108" windowWidth="23256" windowHeight="12456" xr2:uid="{10C3AA1C-2EE5-4A1F-8CF7-9CA966DADB49}"/>
  </bookViews>
  <sheets>
    <sheet name="DETRAF-TMCO ( ITELCO X VIVO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I4" i="1"/>
  <c r="J4" i="1" l="1"/>
</calcChain>
</file>

<file path=xl/sharedStrings.xml><?xml version="1.0" encoding="utf-8"?>
<sst xmlns="http://schemas.openxmlformats.org/spreadsheetml/2006/main" count="23" uniqueCount="20">
  <si>
    <t>CODIGO DA PRESTADOR CREDORA</t>
  </si>
  <si>
    <t>CODIGO DA PRESTADORA DEVEDORA</t>
  </si>
  <si>
    <t>PERIODO DE REFERENCIA</t>
  </si>
  <si>
    <t>PERIODO DE TRAFEGO</t>
  </si>
  <si>
    <t>PONTO DE INTERCONEXAO</t>
  </si>
  <si>
    <t>TIPO RELATORIO DEMONSTRADO</t>
  </si>
  <si>
    <t>DESCRITOR DE CDR</t>
  </si>
  <si>
    <t>GRUPO HORARIO</t>
  </si>
  <si>
    <t xml:space="preserve">   QUANTIDADE DE CHAMADAS   </t>
  </si>
  <si>
    <t xml:space="preserve">         DURACAO EM MINUTOS         </t>
  </si>
  <si>
    <t xml:space="preserve">   TARIFA APLICAVEL   </t>
  </si>
  <si>
    <t xml:space="preserve">        VALOR LIQUIDO              </t>
  </si>
  <si>
    <t xml:space="preserve">      VALOR COFINS E PIS/PASEP           </t>
  </si>
  <si>
    <t xml:space="preserve"> VALOR ICMS </t>
  </si>
  <si>
    <t xml:space="preserve">        VALOR BRUTO              </t>
  </si>
  <si>
    <t>H35</t>
  </si>
  <si>
    <t>N</t>
  </si>
  <si>
    <t>R</t>
  </si>
  <si>
    <t>LENL</t>
  </si>
  <si>
    <t>ITEL_SPO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</si>
</sst>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#,##0.0"/>
    <numFmt numFmtId="166" formatCode="0.00000"/>
  </numFmts>
  <fonts count="18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0"/>
      <color rgb="FF006100"/>
      <name val="Tahoma"/>
      <family val="2"/>
    </font>
    <font>
      <sz val="10"/>
      <color rgb="FF9C0006"/>
      <name val="Tahoma"/>
      <family val="2"/>
    </font>
    <font>
      <sz val="10"/>
      <color rgb="FF9C5700"/>
      <name val="Tahoma"/>
      <family val="2"/>
    </font>
    <font>
      <sz val="10"/>
      <color rgb="FF3F3F76"/>
      <name val="Tahoma"/>
      <family val="2"/>
    </font>
    <font>
      <b/>
      <sz val="10"/>
      <color rgb="FF3F3F3F"/>
      <name val="Tahoma"/>
      <family val="2"/>
    </font>
    <font>
      <b/>
      <sz val="10"/>
      <color rgb="FFFA7D00"/>
      <name val="Tahoma"/>
      <family val="2"/>
    </font>
    <font>
      <sz val="10"/>
      <color rgb="FFFA7D00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i/>
      <sz val="10"/>
      <color rgb="FF7F7F7F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2" fontId="16" fillId="0" borderId="0" xfId="0" applyNumberFormat="1" applyFont="1"/>
    <xf numFmtId="164" fontId="0" fillId="0" borderId="0" xfId="0" applyNumberFormat="1"/>
    <xf numFmtId="3" fontId="0" fillId="0" borderId="0" xfId="0" applyNumberFormat="1"/>
    <xf numFmtId="3" fontId="16" fillId="0" borderId="0" xfId="0" applyNumberFormat="1" applyFont="1"/>
    <xf numFmtId="165" fontId="0" fillId="0" borderId="0" xfId="0" applyNumberFormat="1"/>
    <xf numFmtId="165" fontId="16" fillId="0" borderId="0" xfId="0" applyNumberFormat="1" applyFont="1"/>
    <xf numFmtId="166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EC0D-73F7-483C-924B-64FFBEB8E468}">
  <dimension ref="A1:P9"/>
  <sheetViews>
    <sheetView tabSelected="1" topLeftCell="L1" workbookViewId="0">
      <selection activeCell="N15" sqref="N15"/>
    </sheetView>
  </sheetViews>
  <sheetFormatPr defaultRowHeight="13.2" x14ac:dyDescent="0.25"/>
  <cols>
    <col min="1" max="1" width="31.88671875" bestFit="1" customWidth="1"/>
    <col min="2" max="2" width="34.44140625" style="3" bestFit="1" customWidth="1"/>
    <col min="3" max="3" width="23.88671875" bestFit="1" customWidth="1"/>
    <col min="4" max="4" width="21" bestFit="1" customWidth="1"/>
    <col min="5" max="5" width="24.6640625" bestFit="1" customWidth="1"/>
    <col min="6" max="6" width="30.5546875" bestFit="1" customWidth="1"/>
    <col min="7" max="7" width="18.5546875" bestFit="1" customWidth="1"/>
    <col min="8" max="8" width="15.88671875" bestFit="1" customWidth="1"/>
    <col min="9" max="9" width="30" style="4" bestFit="1" customWidth="1"/>
    <col min="10" max="10" width="31.88671875" style="6" bestFit="1" customWidth="1"/>
    <col min="11" max="11" width="20.77734375" style="8" bestFit="1" customWidth="1"/>
    <col min="12" max="12" width="27.44140625" bestFit="1" customWidth="1"/>
    <col min="13" max="13" width="34.77734375" bestFit="1" customWidth="1"/>
    <col min="14" max="14" width="12.6640625" bestFit="1" customWidth="1"/>
    <col min="15" max="15" width="12.6640625" style="9" customWidth="1"/>
    <col min="16" max="16" width="26" bestFit="1" customWidth="1"/>
  </cols>
  <sheetData>
    <row r="1" spans="1:16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6" t="s">
        <v>9</v>
      </c>
      <c r="K1" s="8" t="s">
        <v>10</v>
      </c>
      <c r="L1" t="s">
        <v>11</v>
      </c>
      <c r="M1" t="s">
        <v>12</v>
      </c>
      <c r="N1" t="s">
        <v>13</v>
      </c>
      <c r="O1" s="9" t="s">
        <v>14</v>
      </c>
    </row>
    <row r="2" spans="1:16" x14ac:dyDescent="0.25">
      <c r="A2" t="s">
        <v>15</v>
      </c>
      <c r="B2" s="3">
        <v>10</v>
      </c>
      <c r="C2">
        <v>202607</v>
      </c>
      <c r="D2">
        <v>202607</v>
      </c>
      <c r="E2" t="s">
        <v>19</v>
      </c>
      <c r="F2">
        <v>0</v>
      </c>
      <c r="G2" t="s">
        <v>18</v>
      </c>
      <c r="H2" t="s">
        <v>16</v>
      </c>
      <c r="I2" s="4">
        <v>59714</v>
      </c>
      <c r="J2" s="6">
        <v>85958</v>
      </c>
      <c r="K2" s="8">
        <v>6.1000000000000004E-3</v>
      </c>
      <c r="L2">
        <v>524.34</v>
      </c>
      <c r="M2" s="1">
        <v>19.86</v>
      </c>
      <c r="N2">
        <v>0</v>
      </c>
      <c r="O2" s="1">
        <v>544.20000000000005</v>
      </c>
      <c r="P2" s="1"/>
    </row>
    <row r="3" spans="1:16" x14ac:dyDescent="0.25">
      <c r="A3" t="s">
        <v>15</v>
      </c>
      <c r="B3" s="3">
        <v>10</v>
      </c>
      <c r="C3">
        <v>202607</v>
      </c>
      <c r="D3">
        <v>202607</v>
      </c>
      <c r="E3" t="s">
        <v>19</v>
      </c>
      <c r="F3">
        <v>0</v>
      </c>
      <c r="G3" t="s">
        <v>18</v>
      </c>
      <c r="H3" t="s">
        <v>17</v>
      </c>
      <c r="I3" s="4">
        <v>355</v>
      </c>
      <c r="J3" s="6">
        <v>374</v>
      </c>
      <c r="K3" s="8">
        <f>0.0061*(1-30%)</f>
        <v>4.2700000000000004E-3</v>
      </c>
      <c r="L3">
        <v>1.59</v>
      </c>
      <c r="M3" s="1">
        <v>0.06</v>
      </c>
      <c r="N3">
        <v>0</v>
      </c>
      <c r="O3" s="1">
        <v>1.65</v>
      </c>
      <c r="P3" s="1"/>
    </row>
    <row r="4" spans="1:16" x14ac:dyDescent="0.25">
      <c r="I4" s="5">
        <f>SUM(I2:I3)</f>
        <v>60069</v>
      </c>
      <c r="J4" s="7">
        <f>SUM(J2:J3)</f>
        <v>86332</v>
      </c>
      <c r="O4" s="2">
        <v>545.85</v>
      </c>
      <c r="P4" s="2"/>
    </row>
    <row r="5" spans="1:16" x14ac:dyDescent="0.25">
      <c r="M5" s="1"/>
      <c r="P5" s="1"/>
    </row>
    <row r="6" spans="1:16" x14ac:dyDescent="0.25">
      <c r="M6" s="1"/>
      <c r="P6" s="1"/>
    </row>
    <row r="7" spans="1:16" x14ac:dyDescent="0.25">
      <c r="M7" s="1"/>
      <c r="P7" s="1"/>
    </row>
    <row r="8" spans="1:16" x14ac:dyDescent="0.25">
      <c r="P8" s="1"/>
    </row>
    <row r="9" spans="1:16" x14ac:dyDescent="0.25">
      <c r="P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DETRAF-TMCO ( ITELCO X VIVO)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Clarisse Santos TMCO</cp:lastModifiedBy>
  <dcterms:created xsi:type="dcterms:W3CDTF">2026-06-15T16:30:24Z</dcterms:created>
  <dcterms:modified xsi:type="dcterms:W3CDTF">2026-08-07T21:20:07Z</dcterms:modified>
</cp:coreProperties>
</file>